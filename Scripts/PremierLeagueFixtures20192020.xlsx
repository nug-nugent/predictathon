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EB514120-9D13-4200-899B-39A9321536F1}" xr6:coauthVersionLast="43" xr6:coauthVersionMax="43" xr10:uidLastSave="{00000000-0000-0000-0000-000000000000}"/>
  <bookViews>
    <workbookView xWindow="2205" yWindow="2205" windowWidth="21600" windowHeight="11385" xr2:uid="{E9ED2978-4F78-48A7-87BC-EC3A4C752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" i="1" l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H207" i="1"/>
  <c r="E371" i="1"/>
  <c r="E355" i="1"/>
  <c r="E339" i="1"/>
  <c r="E331" i="1"/>
  <c r="E323" i="1"/>
  <c r="E315" i="1"/>
  <c r="E309" i="1"/>
  <c r="E303" i="1"/>
  <c r="E298" i="1"/>
  <c r="E293" i="1"/>
  <c r="E287" i="1"/>
  <c r="E282" i="1"/>
  <c r="E277" i="1"/>
  <c r="E271" i="1"/>
  <c r="E266" i="1"/>
  <c r="E261" i="1"/>
  <c r="E255" i="1"/>
  <c r="E250" i="1"/>
  <c r="E245" i="1"/>
  <c r="E229" i="1"/>
  <c r="E223" i="1"/>
  <c r="E218" i="1"/>
  <c r="E213" i="1"/>
  <c r="E206" i="1"/>
  <c r="E201" i="1"/>
  <c r="E190" i="1"/>
  <c r="E185" i="1"/>
  <c r="E174" i="1"/>
  <c r="E169" i="1"/>
  <c r="E157" i="1"/>
  <c r="E141" i="1"/>
  <c r="E134" i="1"/>
  <c r="E129" i="1"/>
  <c r="E123" i="1"/>
  <c r="E118" i="1"/>
  <c r="E113" i="1"/>
  <c r="E107" i="1"/>
  <c r="E102" i="1"/>
  <c r="E97" i="1"/>
  <c r="E91" i="1"/>
  <c r="E86" i="1"/>
  <c r="E81" i="1"/>
  <c r="E75" i="1"/>
  <c r="E70" i="1"/>
  <c r="E65" i="1"/>
  <c r="E59" i="1"/>
  <c r="E54" i="1"/>
  <c r="E49" i="1"/>
  <c r="E43" i="1"/>
  <c r="E38" i="1"/>
  <c r="E34" i="1"/>
  <c r="E30" i="1"/>
  <c r="E26" i="1"/>
  <c r="E22" i="1"/>
  <c r="E18" i="1"/>
  <c r="E14" i="1"/>
  <c r="E10" i="1"/>
  <c r="E6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C381" i="1"/>
  <c r="E381" i="1" s="1"/>
  <c r="C380" i="1"/>
  <c r="E380" i="1" s="1"/>
  <c r="C379" i="1"/>
  <c r="E379" i="1" s="1"/>
  <c r="C378" i="1"/>
  <c r="E378" i="1" s="1"/>
  <c r="C377" i="1"/>
  <c r="E377" i="1" s="1"/>
  <c r="C376" i="1"/>
  <c r="E376" i="1" s="1"/>
  <c r="C375" i="1"/>
  <c r="E375" i="1" s="1"/>
  <c r="C374" i="1"/>
  <c r="E374" i="1" s="1"/>
  <c r="C373" i="1"/>
  <c r="E373" i="1" s="1"/>
  <c r="C372" i="1"/>
  <c r="E372" i="1" s="1"/>
  <c r="C371" i="1"/>
  <c r="C370" i="1"/>
  <c r="E370" i="1" s="1"/>
  <c r="C369" i="1"/>
  <c r="E369" i="1" s="1"/>
  <c r="C368" i="1"/>
  <c r="E368" i="1" s="1"/>
  <c r="C367" i="1"/>
  <c r="E367" i="1" s="1"/>
  <c r="C366" i="1"/>
  <c r="E366" i="1" s="1"/>
  <c r="C365" i="1"/>
  <c r="E365" i="1" s="1"/>
  <c r="C364" i="1"/>
  <c r="E364" i="1" s="1"/>
  <c r="C363" i="1"/>
  <c r="E363" i="1" s="1"/>
  <c r="C362" i="1"/>
  <c r="E362" i="1" s="1"/>
  <c r="C361" i="1"/>
  <c r="E361" i="1" s="1"/>
  <c r="C360" i="1"/>
  <c r="E360" i="1" s="1"/>
  <c r="C359" i="1"/>
  <c r="E359" i="1" s="1"/>
  <c r="C358" i="1"/>
  <c r="E358" i="1" s="1"/>
  <c r="C357" i="1"/>
  <c r="E357" i="1" s="1"/>
  <c r="C356" i="1"/>
  <c r="E356" i="1" s="1"/>
  <c r="C355" i="1"/>
  <c r="C354" i="1"/>
  <c r="E354" i="1" s="1"/>
  <c r="C353" i="1"/>
  <c r="E353" i="1" s="1"/>
  <c r="C352" i="1"/>
  <c r="E352" i="1" s="1"/>
  <c r="C351" i="1"/>
  <c r="E351" i="1" s="1"/>
  <c r="C350" i="1"/>
  <c r="E350" i="1" s="1"/>
  <c r="C349" i="1"/>
  <c r="E349" i="1" s="1"/>
  <c r="C348" i="1"/>
  <c r="E348" i="1" s="1"/>
  <c r="C347" i="1"/>
  <c r="E347" i="1" s="1"/>
  <c r="C346" i="1"/>
  <c r="E346" i="1" s="1"/>
  <c r="C345" i="1"/>
  <c r="E345" i="1" s="1"/>
  <c r="C344" i="1"/>
  <c r="E344" i="1" s="1"/>
  <c r="C343" i="1"/>
  <c r="E343" i="1" s="1"/>
  <c r="C342" i="1"/>
  <c r="E342" i="1" s="1"/>
  <c r="C341" i="1"/>
  <c r="E341" i="1" s="1"/>
  <c r="C340" i="1"/>
  <c r="E340" i="1" s="1"/>
  <c r="C339" i="1"/>
  <c r="C338" i="1"/>
  <c r="E338" i="1" s="1"/>
  <c r="C337" i="1"/>
  <c r="E337" i="1" s="1"/>
  <c r="C336" i="1"/>
  <c r="E336" i="1" s="1"/>
  <c r="C335" i="1"/>
  <c r="E335" i="1" s="1"/>
  <c r="C334" i="1"/>
  <c r="E334" i="1" s="1"/>
  <c r="C333" i="1"/>
  <c r="E333" i="1" s="1"/>
  <c r="C332" i="1"/>
  <c r="E332" i="1" s="1"/>
  <c r="C331" i="1"/>
  <c r="C330" i="1"/>
  <c r="E330" i="1" s="1"/>
  <c r="C329" i="1"/>
  <c r="E329" i="1" s="1"/>
  <c r="C328" i="1"/>
  <c r="E328" i="1" s="1"/>
  <c r="C327" i="1"/>
  <c r="E327" i="1" s="1"/>
  <c r="C326" i="1"/>
  <c r="E326" i="1" s="1"/>
  <c r="C325" i="1"/>
  <c r="E325" i="1" s="1"/>
  <c r="C324" i="1"/>
  <c r="E324" i="1" s="1"/>
  <c r="C323" i="1"/>
  <c r="C322" i="1"/>
  <c r="E322" i="1" s="1"/>
  <c r="C321" i="1"/>
  <c r="E321" i="1" s="1"/>
  <c r="C320" i="1"/>
  <c r="E320" i="1" s="1"/>
  <c r="C319" i="1"/>
  <c r="E319" i="1" s="1"/>
  <c r="C318" i="1"/>
  <c r="E318" i="1" s="1"/>
  <c r="C317" i="1"/>
  <c r="E317" i="1" s="1"/>
  <c r="C316" i="1"/>
  <c r="E316" i="1" s="1"/>
  <c r="C315" i="1"/>
  <c r="C314" i="1"/>
  <c r="E314" i="1" s="1"/>
  <c r="C313" i="1"/>
  <c r="E313" i="1" s="1"/>
  <c r="C312" i="1"/>
  <c r="E312" i="1" s="1"/>
  <c r="C311" i="1"/>
  <c r="E311" i="1" s="1"/>
  <c r="C310" i="1"/>
  <c r="E310" i="1" s="1"/>
  <c r="C309" i="1"/>
  <c r="C308" i="1"/>
  <c r="E308" i="1" s="1"/>
  <c r="C307" i="1"/>
  <c r="E307" i="1" s="1"/>
  <c r="C306" i="1"/>
  <c r="E306" i="1" s="1"/>
  <c r="C305" i="1"/>
  <c r="E305" i="1" s="1"/>
  <c r="C304" i="1"/>
  <c r="E304" i="1" s="1"/>
  <c r="C303" i="1"/>
  <c r="C302" i="1"/>
  <c r="E302" i="1" s="1"/>
  <c r="C301" i="1"/>
  <c r="E301" i="1" s="1"/>
  <c r="C300" i="1"/>
  <c r="E300" i="1" s="1"/>
  <c r="C299" i="1"/>
  <c r="E299" i="1" s="1"/>
  <c r="C298" i="1"/>
  <c r="C297" i="1"/>
  <c r="E297" i="1" s="1"/>
  <c r="C296" i="1"/>
  <c r="E296" i="1" s="1"/>
  <c r="C295" i="1"/>
  <c r="E295" i="1" s="1"/>
  <c r="C294" i="1"/>
  <c r="E294" i="1" s="1"/>
  <c r="C293" i="1"/>
  <c r="C292" i="1"/>
  <c r="E292" i="1" s="1"/>
  <c r="C291" i="1"/>
  <c r="E291" i="1" s="1"/>
  <c r="C290" i="1"/>
  <c r="E290" i="1" s="1"/>
  <c r="C289" i="1"/>
  <c r="E289" i="1" s="1"/>
  <c r="C288" i="1"/>
  <c r="E288" i="1" s="1"/>
  <c r="C287" i="1"/>
  <c r="C286" i="1"/>
  <c r="E286" i="1" s="1"/>
  <c r="C285" i="1"/>
  <c r="E285" i="1" s="1"/>
  <c r="C284" i="1"/>
  <c r="E284" i="1" s="1"/>
  <c r="C283" i="1"/>
  <c r="E283" i="1" s="1"/>
  <c r="C282" i="1"/>
  <c r="C281" i="1"/>
  <c r="E281" i="1" s="1"/>
  <c r="C280" i="1"/>
  <c r="E280" i="1" s="1"/>
  <c r="C279" i="1"/>
  <c r="E279" i="1" s="1"/>
  <c r="C278" i="1"/>
  <c r="E278" i="1" s="1"/>
  <c r="C277" i="1"/>
  <c r="C276" i="1"/>
  <c r="E276" i="1" s="1"/>
  <c r="C275" i="1"/>
  <c r="E275" i="1" s="1"/>
  <c r="C274" i="1"/>
  <c r="E274" i="1" s="1"/>
  <c r="C273" i="1"/>
  <c r="E273" i="1" s="1"/>
  <c r="C272" i="1"/>
  <c r="E272" i="1" s="1"/>
  <c r="C271" i="1"/>
  <c r="C270" i="1"/>
  <c r="E270" i="1" s="1"/>
  <c r="C269" i="1"/>
  <c r="E269" i="1" s="1"/>
  <c r="C268" i="1"/>
  <c r="E268" i="1" s="1"/>
  <c r="C267" i="1"/>
  <c r="E267" i="1" s="1"/>
  <c r="C266" i="1"/>
  <c r="C265" i="1"/>
  <c r="E265" i="1" s="1"/>
  <c r="C264" i="1"/>
  <c r="E264" i="1" s="1"/>
  <c r="C263" i="1"/>
  <c r="E263" i="1" s="1"/>
  <c r="C262" i="1"/>
  <c r="E262" i="1" s="1"/>
  <c r="C261" i="1"/>
  <c r="C260" i="1"/>
  <c r="E260" i="1" s="1"/>
  <c r="C259" i="1"/>
  <c r="E259" i="1" s="1"/>
  <c r="C258" i="1"/>
  <c r="E258" i="1" s="1"/>
  <c r="C257" i="1"/>
  <c r="E257" i="1" s="1"/>
  <c r="C256" i="1"/>
  <c r="E256" i="1" s="1"/>
  <c r="C255" i="1"/>
  <c r="C254" i="1"/>
  <c r="E254" i="1" s="1"/>
  <c r="C253" i="1"/>
  <c r="E253" i="1" s="1"/>
  <c r="C252" i="1"/>
  <c r="E252" i="1" s="1"/>
  <c r="C251" i="1"/>
  <c r="E251" i="1" s="1"/>
  <c r="C250" i="1"/>
  <c r="C249" i="1"/>
  <c r="E249" i="1" s="1"/>
  <c r="C248" i="1"/>
  <c r="E248" i="1" s="1"/>
  <c r="C247" i="1"/>
  <c r="E247" i="1" s="1"/>
  <c r="C246" i="1"/>
  <c r="E246" i="1" s="1"/>
  <c r="C245" i="1"/>
  <c r="C244" i="1"/>
  <c r="E244" i="1" s="1"/>
  <c r="C243" i="1"/>
  <c r="E243" i="1" s="1"/>
  <c r="C242" i="1"/>
  <c r="E242" i="1" s="1"/>
  <c r="C241" i="1"/>
  <c r="E241" i="1" s="1"/>
  <c r="C240" i="1"/>
  <c r="E240" i="1" s="1"/>
  <c r="C239" i="1"/>
  <c r="E239" i="1" s="1"/>
  <c r="C238" i="1"/>
  <c r="E238" i="1" s="1"/>
  <c r="C237" i="1"/>
  <c r="E237" i="1" s="1"/>
  <c r="C236" i="1"/>
  <c r="E236" i="1" s="1"/>
  <c r="C235" i="1"/>
  <c r="E235" i="1" s="1"/>
  <c r="C234" i="1"/>
  <c r="E234" i="1" s="1"/>
  <c r="C233" i="1"/>
  <c r="E233" i="1" s="1"/>
  <c r="C232" i="1"/>
  <c r="E232" i="1" s="1"/>
  <c r="C231" i="1"/>
  <c r="E231" i="1" s="1"/>
  <c r="C230" i="1"/>
  <c r="E230" i="1" s="1"/>
  <c r="C229" i="1"/>
  <c r="C228" i="1"/>
  <c r="E228" i="1" s="1"/>
  <c r="C227" i="1"/>
  <c r="E227" i="1" s="1"/>
  <c r="C226" i="1"/>
  <c r="E226" i="1" s="1"/>
  <c r="C225" i="1"/>
  <c r="E225" i="1" s="1"/>
  <c r="C224" i="1"/>
  <c r="E224" i="1" s="1"/>
  <c r="C223" i="1"/>
  <c r="C222" i="1"/>
  <c r="E222" i="1" s="1"/>
  <c r="C221" i="1"/>
  <c r="E221" i="1" s="1"/>
  <c r="C220" i="1"/>
  <c r="E220" i="1" s="1"/>
  <c r="C219" i="1"/>
  <c r="E219" i="1" s="1"/>
  <c r="C218" i="1"/>
  <c r="C217" i="1"/>
  <c r="E217" i="1" s="1"/>
  <c r="C216" i="1"/>
  <c r="E216" i="1" s="1"/>
  <c r="C215" i="1"/>
  <c r="E215" i="1" s="1"/>
  <c r="C214" i="1"/>
  <c r="E214" i="1" s="1"/>
  <c r="C213" i="1"/>
  <c r="C212" i="1"/>
  <c r="E212" i="1" s="1"/>
  <c r="C211" i="1"/>
  <c r="E211" i="1" s="1"/>
  <c r="C210" i="1"/>
  <c r="E210" i="1" s="1"/>
  <c r="C209" i="1"/>
  <c r="E209" i="1" s="1"/>
  <c r="C208" i="1"/>
  <c r="E208" i="1" s="1"/>
  <c r="C207" i="1"/>
  <c r="E207" i="1" s="1"/>
  <c r="C206" i="1"/>
  <c r="C205" i="1"/>
  <c r="E205" i="1" s="1"/>
  <c r="C204" i="1"/>
  <c r="E204" i="1" s="1"/>
  <c r="C203" i="1"/>
  <c r="E203" i="1" s="1"/>
  <c r="C202" i="1"/>
  <c r="E202" i="1" s="1"/>
  <c r="C201" i="1"/>
  <c r="C200" i="1"/>
  <c r="E200" i="1" s="1"/>
  <c r="C199" i="1"/>
  <c r="E199" i="1" s="1"/>
  <c r="C198" i="1"/>
  <c r="E198" i="1" s="1"/>
  <c r="C197" i="1"/>
  <c r="E197" i="1" s="1"/>
  <c r="C196" i="1"/>
  <c r="E196" i="1" s="1"/>
  <c r="C195" i="1"/>
  <c r="E195" i="1" s="1"/>
  <c r="C194" i="1"/>
  <c r="E194" i="1" s="1"/>
  <c r="C193" i="1"/>
  <c r="E193" i="1" s="1"/>
  <c r="C192" i="1"/>
  <c r="E192" i="1" s="1"/>
  <c r="C191" i="1"/>
  <c r="E191" i="1" s="1"/>
  <c r="C190" i="1"/>
  <c r="C189" i="1"/>
  <c r="E189" i="1" s="1"/>
  <c r="C188" i="1"/>
  <c r="E188" i="1" s="1"/>
  <c r="C187" i="1"/>
  <c r="E187" i="1" s="1"/>
  <c r="C186" i="1"/>
  <c r="E186" i="1" s="1"/>
  <c r="C185" i="1"/>
  <c r="C184" i="1"/>
  <c r="E184" i="1" s="1"/>
  <c r="C183" i="1"/>
  <c r="E183" i="1" s="1"/>
  <c r="C182" i="1"/>
  <c r="E182" i="1" s="1"/>
  <c r="C181" i="1"/>
  <c r="E181" i="1" s="1"/>
  <c r="C180" i="1"/>
  <c r="E180" i="1" s="1"/>
  <c r="C179" i="1"/>
  <c r="E179" i="1" s="1"/>
  <c r="C178" i="1"/>
  <c r="E178" i="1" s="1"/>
  <c r="C177" i="1"/>
  <c r="E177" i="1" s="1"/>
  <c r="C176" i="1"/>
  <c r="E176" i="1" s="1"/>
  <c r="C175" i="1"/>
  <c r="E175" i="1" s="1"/>
  <c r="C174" i="1"/>
  <c r="C173" i="1"/>
  <c r="E173" i="1" s="1"/>
  <c r="C172" i="1"/>
  <c r="E172" i="1" s="1"/>
  <c r="C171" i="1"/>
  <c r="E171" i="1" s="1"/>
  <c r="C170" i="1"/>
  <c r="E170" i="1" s="1"/>
  <c r="C169" i="1"/>
  <c r="C168" i="1"/>
  <c r="E168" i="1" s="1"/>
  <c r="C167" i="1"/>
  <c r="E167" i="1" s="1"/>
  <c r="C166" i="1"/>
  <c r="E166" i="1" s="1"/>
  <c r="C165" i="1"/>
  <c r="E165" i="1" s="1"/>
  <c r="C164" i="1"/>
  <c r="E164" i="1" s="1"/>
  <c r="C163" i="1"/>
  <c r="E163" i="1" s="1"/>
  <c r="C162" i="1"/>
  <c r="E162" i="1" s="1"/>
  <c r="C161" i="1"/>
  <c r="E161" i="1" s="1"/>
  <c r="C160" i="1"/>
  <c r="E160" i="1" s="1"/>
  <c r="C159" i="1"/>
  <c r="E159" i="1" s="1"/>
  <c r="C158" i="1"/>
  <c r="E158" i="1" s="1"/>
  <c r="C157" i="1"/>
  <c r="C156" i="1"/>
  <c r="E156" i="1" s="1"/>
  <c r="C155" i="1"/>
  <c r="E155" i="1" s="1"/>
  <c r="C154" i="1"/>
  <c r="E154" i="1" s="1"/>
  <c r="C153" i="1"/>
  <c r="E153" i="1" s="1"/>
  <c r="C152" i="1"/>
  <c r="E152" i="1" s="1"/>
  <c r="C151" i="1"/>
  <c r="E151" i="1" s="1"/>
  <c r="C150" i="1"/>
  <c r="E150" i="1" s="1"/>
  <c r="C149" i="1"/>
  <c r="E149" i="1" s="1"/>
  <c r="C148" i="1"/>
  <c r="E148" i="1" s="1"/>
  <c r="C147" i="1"/>
  <c r="E147" i="1" s="1"/>
  <c r="C146" i="1"/>
  <c r="E146" i="1" s="1"/>
  <c r="C145" i="1"/>
  <c r="E145" i="1" s="1"/>
  <c r="C144" i="1"/>
  <c r="E144" i="1" s="1"/>
  <c r="C143" i="1"/>
  <c r="E143" i="1" s="1"/>
  <c r="C142" i="1"/>
  <c r="E142" i="1" s="1"/>
  <c r="C141" i="1"/>
  <c r="C140" i="1"/>
  <c r="E140" i="1" s="1"/>
  <c r="C139" i="1"/>
  <c r="E139" i="1" s="1"/>
  <c r="C138" i="1"/>
  <c r="E138" i="1" s="1"/>
  <c r="C137" i="1"/>
  <c r="E137" i="1" s="1"/>
  <c r="C136" i="1"/>
  <c r="E136" i="1" s="1"/>
  <c r="C135" i="1"/>
  <c r="E135" i="1" s="1"/>
  <c r="C134" i="1"/>
  <c r="C133" i="1"/>
  <c r="E133" i="1" s="1"/>
  <c r="C132" i="1"/>
  <c r="E132" i="1" s="1"/>
  <c r="C131" i="1"/>
  <c r="E131" i="1" s="1"/>
  <c r="C130" i="1"/>
  <c r="E130" i="1" s="1"/>
  <c r="C129" i="1"/>
  <c r="C128" i="1"/>
  <c r="E128" i="1" s="1"/>
  <c r="C127" i="1"/>
  <c r="E127" i="1" s="1"/>
  <c r="C126" i="1"/>
  <c r="E126" i="1" s="1"/>
  <c r="C125" i="1"/>
  <c r="E125" i="1" s="1"/>
  <c r="C124" i="1"/>
  <c r="E124" i="1" s="1"/>
  <c r="C123" i="1"/>
  <c r="C122" i="1"/>
  <c r="E122" i="1" s="1"/>
  <c r="C121" i="1"/>
  <c r="E121" i="1" s="1"/>
  <c r="C120" i="1"/>
  <c r="E120" i="1" s="1"/>
  <c r="C119" i="1"/>
  <c r="E119" i="1" s="1"/>
  <c r="C118" i="1"/>
  <c r="C117" i="1"/>
  <c r="E117" i="1" s="1"/>
  <c r="C116" i="1"/>
  <c r="E116" i="1" s="1"/>
  <c r="C115" i="1"/>
  <c r="E115" i="1" s="1"/>
  <c r="C114" i="1"/>
  <c r="E114" i="1" s="1"/>
  <c r="C113" i="1"/>
  <c r="C112" i="1"/>
  <c r="E112" i="1" s="1"/>
  <c r="C111" i="1"/>
  <c r="E111" i="1" s="1"/>
  <c r="C110" i="1"/>
  <c r="E110" i="1" s="1"/>
  <c r="C109" i="1"/>
  <c r="E109" i="1" s="1"/>
  <c r="C108" i="1"/>
  <c r="E108" i="1" s="1"/>
  <c r="C107" i="1"/>
  <c r="C106" i="1"/>
  <c r="E106" i="1" s="1"/>
  <c r="C105" i="1"/>
  <c r="E105" i="1" s="1"/>
  <c r="C104" i="1"/>
  <c r="E104" i="1" s="1"/>
  <c r="C103" i="1"/>
  <c r="E103" i="1" s="1"/>
  <c r="C102" i="1"/>
  <c r="C101" i="1"/>
  <c r="E101" i="1" s="1"/>
  <c r="C100" i="1"/>
  <c r="E100" i="1" s="1"/>
  <c r="C99" i="1"/>
  <c r="E99" i="1" s="1"/>
  <c r="C98" i="1"/>
  <c r="E98" i="1" s="1"/>
  <c r="C97" i="1"/>
  <c r="C96" i="1"/>
  <c r="E96" i="1" s="1"/>
  <c r="C95" i="1"/>
  <c r="E95" i="1" s="1"/>
  <c r="C94" i="1"/>
  <c r="E94" i="1" s="1"/>
  <c r="C93" i="1"/>
  <c r="E93" i="1" s="1"/>
  <c r="C92" i="1"/>
  <c r="E92" i="1" s="1"/>
  <c r="C91" i="1"/>
  <c r="C90" i="1"/>
  <c r="E90" i="1" s="1"/>
  <c r="C89" i="1"/>
  <c r="E89" i="1" s="1"/>
  <c r="C88" i="1"/>
  <c r="E88" i="1" s="1"/>
  <c r="C87" i="1"/>
  <c r="E87" i="1" s="1"/>
  <c r="C86" i="1"/>
  <c r="C85" i="1"/>
  <c r="E85" i="1" s="1"/>
  <c r="C84" i="1"/>
  <c r="E84" i="1" s="1"/>
  <c r="C83" i="1"/>
  <c r="E83" i="1" s="1"/>
  <c r="C82" i="1"/>
  <c r="E82" i="1" s="1"/>
  <c r="C81" i="1"/>
  <c r="C80" i="1"/>
  <c r="E80" i="1" s="1"/>
  <c r="C79" i="1"/>
  <c r="E79" i="1" s="1"/>
  <c r="C78" i="1"/>
  <c r="E78" i="1" s="1"/>
  <c r="C77" i="1"/>
  <c r="E77" i="1" s="1"/>
  <c r="C76" i="1"/>
  <c r="E76" i="1" s="1"/>
  <c r="C75" i="1"/>
  <c r="C74" i="1"/>
  <c r="E74" i="1" s="1"/>
  <c r="C73" i="1"/>
  <c r="E73" i="1" s="1"/>
  <c r="C72" i="1"/>
  <c r="E72" i="1" s="1"/>
  <c r="C71" i="1"/>
  <c r="E71" i="1" s="1"/>
  <c r="C70" i="1"/>
  <c r="C69" i="1"/>
  <c r="E69" i="1" s="1"/>
  <c r="C68" i="1"/>
  <c r="E68" i="1" s="1"/>
  <c r="C67" i="1"/>
  <c r="E67" i="1" s="1"/>
  <c r="C66" i="1"/>
  <c r="E66" i="1" s="1"/>
  <c r="C65" i="1"/>
  <c r="C64" i="1"/>
  <c r="E64" i="1" s="1"/>
  <c r="C63" i="1"/>
  <c r="E63" i="1" s="1"/>
  <c r="C62" i="1"/>
  <c r="E62" i="1" s="1"/>
  <c r="C61" i="1"/>
  <c r="E61" i="1" s="1"/>
  <c r="C60" i="1"/>
  <c r="E60" i="1" s="1"/>
  <c r="C59" i="1"/>
  <c r="C58" i="1"/>
  <c r="E58" i="1" s="1"/>
  <c r="C57" i="1"/>
  <c r="E57" i="1" s="1"/>
  <c r="C56" i="1"/>
  <c r="E56" i="1" s="1"/>
  <c r="C55" i="1"/>
  <c r="E55" i="1" s="1"/>
  <c r="C54" i="1"/>
  <c r="C53" i="1"/>
  <c r="E53" i="1" s="1"/>
  <c r="C52" i="1"/>
  <c r="E52" i="1" s="1"/>
  <c r="C51" i="1"/>
  <c r="E51" i="1" s="1"/>
  <c r="C50" i="1"/>
  <c r="E50" i="1" s="1"/>
  <c r="C49" i="1"/>
  <c r="C48" i="1"/>
  <c r="E48" i="1" s="1"/>
  <c r="C47" i="1"/>
  <c r="E47" i="1" s="1"/>
  <c r="C46" i="1"/>
  <c r="E46" i="1" s="1"/>
  <c r="C45" i="1"/>
  <c r="E45" i="1" s="1"/>
  <c r="C44" i="1"/>
  <c r="E44" i="1" s="1"/>
  <c r="C43" i="1"/>
  <c r="C42" i="1"/>
  <c r="E42" i="1" s="1"/>
  <c r="C41" i="1"/>
  <c r="E41" i="1" s="1"/>
  <c r="C40" i="1"/>
  <c r="E40" i="1" s="1"/>
  <c r="C39" i="1"/>
  <c r="E39" i="1" s="1"/>
  <c r="C38" i="1"/>
  <c r="C37" i="1"/>
  <c r="E37" i="1" s="1"/>
  <c r="C36" i="1"/>
  <c r="E36" i="1" s="1"/>
  <c r="C35" i="1"/>
  <c r="E35" i="1" s="1"/>
  <c r="C34" i="1"/>
  <c r="C33" i="1"/>
  <c r="E33" i="1" s="1"/>
  <c r="C32" i="1"/>
  <c r="E32" i="1" s="1"/>
  <c r="C31" i="1"/>
  <c r="E31" i="1" s="1"/>
  <c r="C30" i="1"/>
  <c r="C29" i="1"/>
  <c r="E29" i="1" s="1"/>
  <c r="C28" i="1"/>
  <c r="E28" i="1" s="1"/>
  <c r="C27" i="1"/>
  <c r="E27" i="1" s="1"/>
  <c r="C26" i="1"/>
  <c r="C25" i="1"/>
  <c r="E25" i="1" s="1"/>
  <c r="C24" i="1"/>
  <c r="E24" i="1" s="1"/>
  <c r="C23" i="1"/>
  <c r="E23" i="1" s="1"/>
  <c r="C22" i="1"/>
  <c r="C21" i="1"/>
  <c r="E21" i="1" s="1"/>
  <c r="C20" i="1"/>
  <c r="E20" i="1" s="1"/>
  <c r="C19" i="1"/>
  <c r="E19" i="1" s="1"/>
  <c r="C18" i="1"/>
  <c r="C17" i="1"/>
  <c r="E17" i="1" s="1"/>
  <c r="C16" i="1"/>
  <c r="E16" i="1" s="1"/>
  <c r="C15" i="1"/>
  <c r="E15" i="1" s="1"/>
  <c r="C14" i="1"/>
  <c r="C13" i="1"/>
  <c r="E13" i="1" s="1"/>
  <c r="C12" i="1"/>
  <c r="E12" i="1" s="1"/>
  <c r="C11" i="1"/>
  <c r="E11" i="1" s="1"/>
  <c r="C10" i="1"/>
  <c r="C9" i="1"/>
  <c r="E9" i="1" s="1"/>
  <c r="C8" i="1"/>
  <c r="E8" i="1" s="1"/>
  <c r="C7" i="1"/>
  <c r="E7" i="1" s="1"/>
  <c r="C6" i="1"/>
  <c r="C5" i="1"/>
  <c r="E5" i="1" s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<sst xmlns="http://schemas.openxmlformats.org/spreadsheetml/2006/main" count="755" uniqueCount="396">
  <si>
    <t>Burnley</t>
  </si>
  <si>
    <t>9: Liverpool vs Norwich City, 8pm</t>
  </si>
  <si>
    <t>10: West Ham vs Manchester City, 12.30pm</t>
  </si>
  <si>
    <t>10: Bournemouth vs Sheffield United, 3pm</t>
  </si>
  <si>
    <t>10: Burnley vs Southampton, 3pm</t>
  </si>
  <si>
    <t>10: Crystal Palace vs Everton, 3pm</t>
  </si>
  <si>
    <t>10: Leicester vs Wolves, 3pm</t>
  </si>
  <si>
    <t>10: Watford vs Brighton, 3pm</t>
  </si>
  <si>
    <t>10: Tottenham vs Aston Villa, 5.30pm</t>
  </si>
  <si>
    <t>11: Newcastle vs Arsenal, 2pm</t>
  </si>
  <si>
    <t>11: Manchester United vs Chelsea, 4.30pm</t>
  </si>
  <si>
    <t>17: Arsenal vs Burnley, 3pm</t>
  </si>
  <si>
    <t>17: Aston Villa vs Bournemouth, 3pm</t>
  </si>
  <si>
    <t>17: Brighton vs West Ham United, 3pm</t>
  </si>
  <si>
    <t>17: Chelsea vs Leicester City, 3pm</t>
  </si>
  <si>
    <t>17: Everton vs Watford, 3pm</t>
  </si>
  <si>
    <t>17: Manchester City vs Tottenham Hotspur, 3pm</t>
  </si>
  <si>
    <t>17: Norwich City vs Newcastle United, 3pm</t>
  </si>
  <si>
    <t>17: Sheffield United vs Crystal Palace, 3pm</t>
  </si>
  <si>
    <t>17: Southampton vs Liverpool, 3pm</t>
  </si>
  <si>
    <t>17: Wolves vs Manchester United, 3pm</t>
  </si>
  <si>
    <t>24: Bournemouth vs Manchester City, 3pm</t>
  </si>
  <si>
    <t>24: Aston Villa vs Everton, 3pm</t>
  </si>
  <si>
    <t>24: Brighton vs Southampton, 3pm</t>
  </si>
  <si>
    <t>24: Liverpool vs Arsenal, 3pm</t>
  </si>
  <si>
    <t>24: Manchester United vs Crystal Palace, 3pm</t>
  </si>
  <si>
    <t>24: Norwich City vs Chelsea, 3pm</t>
  </si>
  <si>
    <t>24: Sheffield United vs Leicester City, 3pm</t>
  </si>
  <si>
    <t>24: Tottenham Hotspur vs Newcastle United, 3pm</t>
  </si>
  <si>
    <t>24: Watford vs West Ham United, 3pm</t>
  </si>
  <si>
    <t>24: Wolves vs Burnley, 3pm</t>
  </si>
  <si>
    <t>31: Arsenal vs Tottenham Hotspur, 3pm</t>
  </si>
  <si>
    <t>31: Burnley vs Liverpool, 3pm</t>
  </si>
  <si>
    <t>31: Chelsea vs Sheffield United, 3pm</t>
  </si>
  <si>
    <t>31: Crystal Palace vs Aston Villa, 3pm</t>
  </si>
  <si>
    <t>31: Everton vs Wolves, 3pm</t>
  </si>
  <si>
    <t>31: Leicester City vs Bournemouth, 3pm</t>
  </si>
  <si>
    <t>31: Manchester City vs Brighton, 3pm</t>
  </si>
  <si>
    <t>31: Newcastle United vs Watford, 3pm</t>
  </si>
  <si>
    <t>31: Southampton vs Manchester United, 3pm</t>
  </si>
  <si>
    <t>31: West Ham United vs Norwich City, 3pm</t>
  </si>
  <si>
    <t>14: Bournemouth vs Everton, 3pm</t>
  </si>
  <si>
    <t>14: Aston Villa vs West Ham United, 3pm</t>
  </si>
  <si>
    <t>14: Brighton vs Burnley, 3pm</t>
  </si>
  <si>
    <t>14: Liverpool vs Newcastle United, 3pm</t>
  </si>
  <si>
    <t>14: Manchester United vs Leicester City, 3pm</t>
  </si>
  <si>
    <t>14: Norwich City vs Manchester City, 3pm</t>
  </si>
  <si>
    <t>14: Sheffield United vs Southampton, 3pm</t>
  </si>
  <si>
    <t>14: Tottenham Hotspur vs Crystal Palace, 3pm</t>
  </si>
  <si>
    <t>14: Watford vs Arsenal, 3pm</t>
  </si>
  <si>
    <t>14: Wolves vs Chelsea, 3pm</t>
  </si>
  <si>
    <t>21: Arsenal vs Aston Villa, 3pm</t>
  </si>
  <si>
    <t>21: Burnley vs Norwich City, 3pm</t>
  </si>
  <si>
    <t>21: Chelsea vs Liverpool, 3pm</t>
  </si>
  <si>
    <t>21: Crystal Palace vs Wolves, 3pm</t>
  </si>
  <si>
    <t>21: Everton vs Sheffield United, 3pm</t>
  </si>
  <si>
    <t>21: Leicester City vs Tottenham Hotspur, 3pm</t>
  </si>
  <si>
    <t>21: Manchester City vs Watford, 3pm</t>
  </si>
  <si>
    <t>21: Newcastle United vs Brighton, 3pm</t>
  </si>
  <si>
    <t>21: Southampton vs Bournemouth, 3pm</t>
  </si>
  <si>
    <t>21: West Ham United vs Manchester United, 3pm</t>
  </si>
  <si>
    <t>28: Bournemouth vs West Ham, 3pm</t>
  </si>
  <si>
    <t>28: Aston Villa vs Burnley, 3pm</t>
  </si>
  <si>
    <t>28: Chelsea vs Brighton, 3pm</t>
  </si>
  <si>
    <t>28: Crystal Palace vs Norwich City, 3pm</t>
  </si>
  <si>
    <t>28: Everton vs Manchester City, 3pm</t>
  </si>
  <si>
    <t>28: Leicester City vs Newcastle United, 3pm</t>
  </si>
  <si>
    <t>28: Manchester United vs Arsenal, 3pm</t>
  </si>
  <si>
    <t>28: Sheffield United vs Liverpool, 3pm</t>
  </si>
  <si>
    <t>28: Tottenham Hotspur vs Southampton, 3pm</t>
  </si>
  <si>
    <t>28: Wolverhampton vs Watford, 3pm</t>
  </si>
  <si>
    <t>5: Arsenal vs Bournemouth, 3pm</t>
  </si>
  <si>
    <t>5: Brighton vs Tottenham Hotspur, 3pm</t>
  </si>
  <si>
    <t>5: Burnley vs Everton, 3pm</t>
  </si>
  <si>
    <t>5: Liverpool vs Leicester City, 3pm</t>
  </si>
  <si>
    <t>5: Manchester City vs Wolves, 3pm</t>
  </si>
  <si>
    <t>5: Newcastle United vs Manchester United, 3pm</t>
  </si>
  <si>
    <t>5: Norwich City vs Aston Villa, 3pm</t>
  </si>
  <si>
    <t>5: Southampton vs Chelsea, 3pm</t>
  </si>
  <si>
    <t>5: Watford vs Sheffield United, 3pm</t>
  </si>
  <si>
    <t>5: West Ham United vs Crystal Palace, 3pm</t>
  </si>
  <si>
    <t>19: Bournemouth vs Norwich City, 3pm</t>
  </si>
  <si>
    <t>19: Aston Villa vs Brighton, 3pm</t>
  </si>
  <si>
    <t>19: Chelsea vs Newcastle United, 3pm</t>
  </si>
  <si>
    <t>19: Crystal Palace vs Manchester City, 3pm</t>
  </si>
  <si>
    <t>19: Everton vs West Ham United, 3pm</t>
  </si>
  <si>
    <t>19: Leicester City vs Burnley, 3pm</t>
  </si>
  <si>
    <t>19: Manchester United vs Liverpool, 3pm</t>
  </si>
  <si>
    <t>19: Sheffield United vs Arsenal, 3pm</t>
  </si>
  <si>
    <t>19: Tottenham Hotspur vs Watford, 3pm</t>
  </si>
  <si>
    <t>19: Wolves vs Southampton, 3pm</t>
  </si>
  <si>
    <t>26: Arsenal vs Crystal Palace, 3pm</t>
  </si>
  <si>
    <t>26: Brighton vs Everton, 3pm</t>
  </si>
  <si>
    <t>26: Burnley vs Chelsea, 3pm</t>
  </si>
  <si>
    <t>26: Liverpool vs Tottenham Hotspur, 3pm</t>
  </si>
  <si>
    <t>26: Manchester City vs Aston Villa, 3pm</t>
  </si>
  <si>
    <t>26: Newcastle United vs Wolves, 3pm</t>
  </si>
  <si>
    <t>26: Norwich City vs Manchester United, 3pm</t>
  </si>
  <si>
    <t>26: Southampton vs Leicester City, 3pm</t>
  </si>
  <si>
    <t>26: Watford vs Bournemouth, 3pm</t>
  </si>
  <si>
    <t>26: West Ham United vs Sheffield United, 3pm</t>
  </si>
  <si>
    <t>2: Bournemouth vs Manchester United, 3pm</t>
  </si>
  <si>
    <t>2: Arsenal vs Wolves, 3pm</t>
  </si>
  <si>
    <t>2: Aston Villa vs Liverpool, 3pm</t>
  </si>
  <si>
    <t>2: Brighton vs Norwich City, 3pm</t>
  </si>
  <si>
    <t>2: Crystal Palace vs Leicester City, 3pm</t>
  </si>
  <si>
    <t>2: Everton vs Tottenham Hotspur, 3pm</t>
  </si>
  <si>
    <t>2: Manchester City vs Southampton, 3pm</t>
  </si>
  <si>
    <t>2: Sheffield United vs Burnley, 3pm</t>
  </si>
  <si>
    <t>2: Watford vs Chelsea, 3pm</t>
  </si>
  <si>
    <t>2: West Ham United vs Newcastle United, 3pm</t>
  </si>
  <si>
    <t>9: Burnley vs West Ham United, 3pm</t>
  </si>
  <si>
    <t>9: Chelsea vs Crystal Palace, 3pm</t>
  </si>
  <si>
    <t>9: Leicester City vs Arsenal, 3pm</t>
  </si>
  <si>
    <t>9: Liverpool vs Manchester City, 3pm</t>
  </si>
  <si>
    <t>9: Manchester United vs Brighton, 3pm</t>
  </si>
  <si>
    <t>9: Newcastle United vs Bournemouth, 3pm</t>
  </si>
  <si>
    <t>9: Norwich City vs Watford, 3pm</t>
  </si>
  <si>
    <t>9: Southampton vs Everton, 3pm</t>
  </si>
  <si>
    <t>9: Tottenham Hotspur vs Sheffield United, 3pm</t>
  </si>
  <si>
    <t>9: Wolves vs Aston Villa, 3pm</t>
  </si>
  <si>
    <t>23: Bournemouth vs Wolves, 3pm</t>
  </si>
  <si>
    <t>23: Arsenal vs Southampton, 3pm</t>
  </si>
  <si>
    <t>23: Aston Villa vs Newcastle United, 3pm</t>
  </si>
  <si>
    <t>23: Brighton vs Leicester City, 3pm</t>
  </si>
  <si>
    <t>23: Crystal Palace vs Liverpool, 3pm</t>
  </si>
  <si>
    <t>23: Everton vs Norwich City, 3pm</t>
  </si>
  <si>
    <t>23: Manchester City vs Chelsea, 3pm</t>
  </si>
  <si>
    <t>23: Sheffield United vs Manchester United, 3pm</t>
  </si>
  <si>
    <t>23: Watford vs Burnley, 3pm</t>
  </si>
  <si>
    <t>23: West Ham United vs Tottenham Hotspur, 3pm</t>
  </si>
  <si>
    <t>30: Burnley vs Crystal Palace, 3pm</t>
  </si>
  <si>
    <t>30: Chelsea vs West Ham United, 3pm</t>
  </si>
  <si>
    <t>30: Leicester City vs Everton, 3pm</t>
  </si>
  <si>
    <t>30: Liverpool vs Brighton, 3pm</t>
  </si>
  <si>
    <t>30: Manchester United vs Aston Villa, 3pm</t>
  </si>
  <si>
    <t>30: Tottenham Hotspur vs Bournemouth, 3pm</t>
  </si>
  <si>
    <t>30: Wolves vs Sheffield United, 3pm</t>
  </si>
  <si>
    <t>3: Manchester United vs Tottenham Hotspur, 8pm</t>
  </si>
  <si>
    <t>4: Liverpool vs Everton, 8pm</t>
  </si>
  <si>
    <t>7: Bournemouth vs Liverpool, 3pm</t>
  </si>
  <si>
    <t>7: Aston Villa vs Leicester City, 3pm</t>
  </si>
  <si>
    <t>7: Brighton vs Wolves, 3pm</t>
  </si>
  <si>
    <t>7: Everton vs Chelsea, 3pm</t>
  </si>
  <si>
    <t>7: Manchester City vs Manchester United, 3pm</t>
  </si>
  <si>
    <t>7: Newcastle United vs Southampton, 3pm</t>
  </si>
  <si>
    <t>7: Norwich City vs Sheffield United, 3pm</t>
  </si>
  <si>
    <t>7: Tottenham Hotspur vs Burnley, 3pm</t>
  </si>
  <si>
    <t>7: Watford vs Crystal Palace, 3pm</t>
  </si>
  <si>
    <t>7: West Ham United vs Arsenal, 3pm</t>
  </si>
  <si>
    <t>14: Arsenal vs Manchester City, 3pm</t>
  </si>
  <si>
    <t>14: Chelsea vs Bournemouth, 3pm</t>
  </si>
  <si>
    <t>14: Crystal Palace vs Brighton, 3pm</t>
  </si>
  <si>
    <t>14: Leicester City vs Norwich City, 3pm</t>
  </si>
  <si>
    <t>14: Liverpool vs Watford, 3pm</t>
  </si>
  <si>
    <t>14: Manchester United vs Everton, 3pm</t>
  </si>
  <si>
    <t>14: Sheffield United vs Aston Villa, 3pm</t>
  </si>
  <si>
    <t>14: Southampton vs West Ham United, 3pm</t>
  </si>
  <si>
    <t>14: Wolves vs Tottenham Hotspur, 3pm</t>
  </si>
  <si>
    <t>21: Bournemouth vs Burnley, 3pm</t>
  </si>
  <si>
    <t>21: Aston Villa vs Southampton, 3pm</t>
  </si>
  <si>
    <t>21: Brighton vs Sheffield United, 3pm</t>
  </si>
  <si>
    <t>21: Everton vs Arsenal, 3pm</t>
  </si>
  <si>
    <t>21: Manchester City vs Leicester City, 3pm</t>
  </si>
  <si>
    <t>21: Newcastle United vs Crystal Palace, 3pm</t>
  </si>
  <si>
    <t>21: Norwich City vs Wolverhampton, 3pm</t>
  </si>
  <si>
    <t>21: Tottenham Hotspur vs Chelsea, 3pm</t>
  </si>
  <si>
    <t>21: Watford vs Manchester United, 3pm</t>
  </si>
  <si>
    <t>21: West Ham United vs Liverpool, 3pm</t>
  </si>
  <si>
    <t>26: Bournemouth vs Arsenal, 3pm</t>
  </si>
  <si>
    <t>26: Aston Villa vs Norwich City, 3pm</t>
  </si>
  <si>
    <t>26: Chelsea vs Southampton, 3pm</t>
  </si>
  <si>
    <t>26: Crystal Palace vs West Ham United, 3pm</t>
  </si>
  <si>
    <t>26: Everton vs Burnley, 3pm</t>
  </si>
  <si>
    <t>26: Leicester City vs Liverpool, 3pm</t>
  </si>
  <si>
    <t>26: Manchester United vs Newcastle United, 3pm</t>
  </si>
  <si>
    <t>26: Sheffield United vs Watford, 3pm</t>
  </si>
  <si>
    <t>26: Tottenham Hotspur vs Brighton, 3pm</t>
  </si>
  <si>
    <t>26: Wolves vs Manchester City, 3pm</t>
  </si>
  <si>
    <t>28: Arsenal vs Chelsea, 3pm</t>
  </si>
  <si>
    <t>28: Brighton vs Bournemouth, 3pm</t>
  </si>
  <si>
    <t>28: Burnley vs Manchester United, 3pm</t>
  </si>
  <si>
    <t>28: Liverpool vs Wolves, 3pm</t>
  </si>
  <si>
    <t>28: Manchester City vs Sheffield United, 3pm</t>
  </si>
  <si>
    <t>28: Newcastle United vs Everton, 3pm</t>
  </si>
  <si>
    <t>28: Norwich City vs Tottenham Hotspur, 3pm</t>
  </si>
  <si>
    <t>28: Southampton vs Crystal Palace, 3pm</t>
  </si>
  <si>
    <t>28: Watford vs Aston Villa, 3pm</t>
  </si>
  <si>
    <t>28: West Ham United vs Leicester City, 3pm</t>
  </si>
  <si>
    <t>1: Arsenal vs Manchester United, 3pm</t>
  </si>
  <si>
    <t>1: Brighton vs Chelsea, 3pm</t>
  </si>
  <si>
    <t>1: Burnley vs Aston Villa, 3pm</t>
  </si>
  <si>
    <t>1: Liverpool vs Sheffield United, 3pm</t>
  </si>
  <si>
    <t>1: Manchester City vs Everton, 3pm</t>
  </si>
  <si>
    <t>1: Norwich City vs Crystal Palace, 3pm</t>
  </si>
  <si>
    <t>1: Southampton vs Tottenham Hotspur, 3pm</t>
  </si>
  <si>
    <t>1: Watford vs Wolves, 3pm</t>
  </si>
  <si>
    <t>1: West Ham United vs Bournemouth, 3pm</t>
  </si>
  <si>
    <t>11: Bournemouth vs Watford, 3pm</t>
  </si>
  <si>
    <t>11: Aston Villa vs Manchester City, 3pm</t>
  </si>
  <si>
    <t>11: Chelsea vs Burnley, 3pm</t>
  </si>
  <si>
    <t>11: Crystal Palace vs Arsenal, 3pm</t>
  </si>
  <si>
    <t>11: Everton vs Brighton, 3pm</t>
  </si>
  <si>
    <t>11: Leicester City vs Southampton, 3pm</t>
  </si>
  <si>
    <t>11: Manchester United vs Norwich City, 3pm</t>
  </si>
  <si>
    <t>11: Sheffield United vs West Ham United, 3pm</t>
  </si>
  <si>
    <t>11: Tottenham Hotspur vs Liverpool, 3pm</t>
  </si>
  <si>
    <t>11: Wolves vs Newcastle United, 3pm</t>
  </si>
  <si>
    <t>18: Arsenal vs Sheffield United, 3pm</t>
  </si>
  <si>
    <t>18: Brighton vs Aston Villa, 3pm</t>
  </si>
  <si>
    <t>18: Burnley vs Leicester City, 3pm</t>
  </si>
  <si>
    <t>18: Liverpool vs Manchester United, 3pm</t>
  </si>
  <si>
    <t>18: Manchester City vs Crystal Palace, 3pm</t>
  </si>
  <si>
    <t>18: Newcastle United vs Chelsea, 3pm</t>
  </si>
  <si>
    <t>18: Norwich City vs Bournemouth, 3pm</t>
  </si>
  <si>
    <t>18: Southampton vs Wolves, 3pm</t>
  </si>
  <si>
    <t>18: Watford vs Tottenham Hotspur, 3pm</t>
  </si>
  <si>
    <t>18: West Ham United vs Everton, 3pm</t>
  </si>
  <si>
    <t>21: Manchester United vs Burnley, 8pm</t>
  </si>
  <si>
    <t>22: Crystal Palace vs Southampton, 8pm</t>
  </si>
  <si>
    <t>8: Arsenal vs Newcastle United, 3pm</t>
  </si>
  <si>
    <t>8: Aston Villa vs Tottenham Hotspur, 3pm</t>
  </si>
  <si>
    <t>8: Brighton vs Watford, 3pm</t>
  </si>
  <si>
    <t>8: Chelsea vs Manchester United, 3pm</t>
  </si>
  <si>
    <t>8: Everton vs Crystal Palace, 3pm</t>
  </si>
  <si>
    <t>8: Manchester City vs West Ham United, 3pm</t>
  </si>
  <si>
    <t>8: Norwich City vs Liverpool, 3pm</t>
  </si>
  <si>
    <t>8: Sheffield United vs Bournemouth, 3pm</t>
  </si>
  <si>
    <t>8: Southampton vs Burnley, 3pm</t>
  </si>
  <si>
    <t>8: Wolverhampton vs Leicester City, 3pm</t>
  </si>
  <si>
    <t>22: Arsenal vs Everton, 3pm</t>
  </si>
  <si>
    <t>22: Burnley vs Bournemouth, 3pm</t>
  </si>
  <si>
    <t>22: Chelsea vs Tottenham Hotspur, 3pm</t>
  </si>
  <si>
    <t>22: Crystal Palace vs Newcastle United, 3pm</t>
  </si>
  <si>
    <t>22: Leicester City vs Manchester City, 3pm</t>
  </si>
  <si>
    <t>22: Liverpool vs West Ham United, 3pm</t>
  </si>
  <si>
    <t>22: Manchester United vs Watford, 3pm</t>
  </si>
  <si>
    <t>22: Sheffield United vs Brighton, 3pm</t>
  </si>
  <si>
    <t>22: Southampton vs Aston Villa, 3pm</t>
  </si>
  <si>
    <t>22: Wolves vs Norwich City, 3pm</t>
  </si>
  <si>
    <t>29: Bournemouth vs Chelsea, 3pm</t>
  </si>
  <si>
    <t>29: Aston Villa vs Sheffield United, 3pm</t>
  </si>
  <si>
    <t>29: Brighton vs Crystal Palace, 3pm</t>
  </si>
  <si>
    <t>29: Everton vs Manchester United, 3pm</t>
  </si>
  <si>
    <t>29: Manchester City vs Arsenal, 3pm</t>
  </si>
  <si>
    <t>29: Newcastle United vs Burnley, 3pm</t>
  </si>
  <si>
    <t>29: Norwich City vs Leicester City, 3pm</t>
  </si>
  <si>
    <t>29: Tottenham Hotspur vs Wolves, 3pm</t>
  </si>
  <si>
    <t>29: Watford vs Liverpool, 3pm</t>
  </si>
  <si>
    <t>29: West Ham United vs Southampton, 3pm</t>
  </si>
  <si>
    <t>7: Arsenal vs West Ham United, 3pm</t>
  </si>
  <si>
    <t>7: Burnley vs Tottenham Hotspur, 3pm</t>
  </si>
  <si>
    <t>7: Chelsea vs Everton, 3pm</t>
  </si>
  <si>
    <t>7: Crystal Palace vs Watford, 3pm</t>
  </si>
  <si>
    <t>7: Leicester City vs Aston Villa, 3pm</t>
  </si>
  <si>
    <t>7: Liverpool vs Bournemouth, 3pm</t>
  </si>
  <si>
    <t>7: Manchester United vs Manchester City, 3pm</t>
  </si>
  <si>
    <t>7: Sheffield United vs Norwich City, 3pm</t>
  </si>
  <si>
    <t>7: Southampton vs Newcastle United, 3pm</t>
  </si>
  <si>
    <t>7: Wolves vs Brighton, 3pm</t>
  </si>
  <si>
    <t>14: Bournemouth vs Crystal Palace, 3pm</t>
  </si>
  <si>
    <t>14: Aston Villa vs Chelsea, 3pm</t>
  </si>
  <si>
    <t>14: Brighton vs Arsenal, 3pm</t>
  </si>
  <si>
    <t>14: Everton vs Liverpool, 3pm</t>
  </si>
  <si>
    <t>14: Manchester City vs Burnley, 3pm</t>
  </si>
  <si>
    <t>14: Newcastle United vs Sheffield United, 3pm</t>
  </si>
  <si>
    <t>14: Norwich City vs Southampton, 3pm</t>
  </si>
  <si>
    <t>14: Tottenham Hotspur vs Manchester United, 3pm</t>
  </si>
  <si>
    <t>14: Watford vs Leicester City, 3pm</t>
  </si>
  <si>
    <t>14: West Ham United vs Wolves, 3pm</t>
  </si>
  <si>
    <t>21: Burnley vs Watford, 3pm</t>
  </si>
  <si>
    <t>21: Chelsea vs Manchester City, 3pm</t>
  </si>
  <si>
    <t>21: Leicester City vs Brighton, 3pm</t>
  </si>
  <si>
    <t>21: Liverpool vs Crystal Palace, 3pm</t>
  </si>
  <si>
    <t>21: Manchester United vs Sheffield United, 3pm</t>
  </si>
  <si>
    <t>21: Newcastle United vs Aston Villa, 3pm</t>
  </si>
  <si>
    <t>21: Norwich City vs Everton, 3pm</t>
  </si>
  <si>
    <t>21: Southampton vs Arsenal, 3pm</t>
  </si>
  <si>
    <t>21: Tottenham Hotspur vs West Ham United, 3pm</t>
  </si>
  <si>
    <t>21: Wolves vs Bournemouth, 3pm</t>
  </si>
  <si>
    <t>4: Bournemouth vs Newcastle United, 3pm</t>
  </si>
  <si>
    <t>4: Arsenal vs Norwich City, 3pm</t>
  </si>
  <si>
    <t>4: Aston Villa vs Wolves, 3pm</t>
  </si>
  <si>
    <t>4: Brighton vs Manchester United, 3pm</t>
  </si>
  <si>
    <t>4: Crystal Palace vs Burnley, 3pm</t>
  </si>
  <si>
    <t>4: Everton vs Leicester City, 3pm</t>
  </si>
  <si>
    <t>4: Manchester City vs Liverpool, 3pm</t>
  </si>
  <si>
    <t>4: Sheffield United vs Tottenham Hotspur, 3pm</t>
  </si>
  <si>
    <t>4: Watford vs Southampton, 3pm</t>
  </si>
  <si>
    <t>4: West Ham United vs Chelsea, 3pm</t>
  </si>
  <si>
    <t>11: Burnley vs Sheffield United, 3pm</t>
  </si>
  <si>
    <t>11: Chelsea vs Watford, 3pm</t>
  </si>
  <si>
    <t>11: Leicester City vs Crystal Palace, 3pm</t>
  </si>
  <si>
    <t>11: Liverpool vs Aston Villa, 3pm</t>
  </si>
  <si>
    <t>11: Manchester United vs Bournemouth, 3pm</t>
  </si>
  <si>
    <t>11: Newcastle United vs West Ham United, 3pm</t>
  </si>
  <si>
    <t>11: Norwich City vs Brighton, 3pm</t>
  </si>
  <si>
    <t>11: Southampton vs Manchester City, 3pm</t>
  </si>
  <si>
    <t>11: Tottenham Hotspur vs Everton, 3pm</t>
  </si>
  <si>
    <t>11: Wolves vs Arsenal, 3pm</t>
  </si>
  <si>
    <t>18: Bournemouth vs Tottenham Hotspur, 3pm</t>
  </si>
  <si>
    <t>18: Arsenal vs Leicester City, 3pm</t>
  </si>
  <si>
    <t>18: Aston Villa vs Manchester United, 3pm</t>
  </si>
  <si>
    <t>18: Brighton vs Liverpool, 3pm</t>
  </si>
  <si>
    <t>18: Crystal Palace vs Chelsea, 3pm</t>
  </si>
  <si>
    <t>18: Everton vs Southampton, 3pm</t>
  </si>
  <si>
    <t>18: Manchester City vs Newcastle United, 3pm</t>
  </si>
  <si>
    <t>18: Sheffield United vs Wolverhampton, 3pm</t>
  </si>
  <si>
    <t>18: Watford vs Norwich City, 3pm</t>
  </si>
  <si>
    <t>18: West Ham United vs Burnley, 3pm</t>
  </si>
  <si>
    <t>25: Bournemouth vs Leicester City, 3pm</t>
  </si>
  <si>
    <t>25: Aston Villa vs Crystal Palace, 3pm</t>
  </si>
  <si>
    <t>25: Brighton vs Manchester City, 3pm</t>
  </si>
  <si>
    <t>25: Liverpool vs Burnley, 3pm</t>
  </si>
  <si>
    <t>25: Manchester United vs Southampton, 3pm</t>
  </si>
  <si>
    <t>25: Norwich City vs West Ham United, 3pm</t>
  </si>
  <si>
    <t>25: Sheffield United vs Chelsea, 3pm</t>
  </si>
  <si>
    <t>25: Tottenham Hotspur vs Arsenal, 3pm</t>
  </si>
  <si>
    <t>25: Watford vs Newcastle United, 3pm</t>
  </si>
  <si>
    <t>25: Wolves vs Everton, 3pm</t>
  </si>
  <si>
    <t>2: Arsenal vs Liverpool, 3pm</t>
  </si>
  <si>
    <t>2: Burnley vs Wolverhampton, 3pm</t>
  </si>
  <si>
    <t>2: Chelsea vs Norwich City, 3pm</t>
  </si>
  <si>
    <t>2: Crystal Palace vs Manchester United, 3pm</t>
  </si>
  <si>
    <t>2: Everton vs Aston Villa, 3pm</t>
  </si>
  <si>
    <t>2: Leicester City vs Sheffield United, 3pm</t>
  </si>
  <si>
    <t>2: Manchester City vs Bournemouth, 3pm</t>
  </si>
  <si>
    <t>2: Newcastle United vs Tottenham Hotspur, 3pm</t>
  </si>
  <si>
    <t>2: Southampton vs Brighton, 3pm</t>
  </si>
  <si>
    <t>2: West Ham United vs Watford, 3pm</t>
  </si>
  <si>
    <t>9: Bournemouth vs Southampton, 3pm</t>
  </si>
  <si>
    <t>9: Aston Villa vs Arsenal, 3pm</t>
  </si>
  <si>
    <t>9: Brighton vs Newcastle United, 3pm</t>
  </si>
  <si>
    <t>9: Liverpool vs Chelsea, 3pm</t>
  </si>
  <si>
    <t>9: Manchester United vs West Ham United, 3pm</t>
  </si>
  <si>
    <t>9: Norwich City vs Burnley, 3pm</t>
  </si>
  <si>
    <t>9: Sheffield United vs Everton, 3pm</t>
  </si>
  <si>
    <t>9: Tottenham Hotspur vs Leicester City, 3pm</t>
  </si>
  <si>
    <t>9: Watford vs Manchester City, 3pm</t>
  </si>
  <si>
    <t>9: Wolves vs Crystal Palace, 3pm</t>
  </si>
  <si>
    <t>17: Arsenal vs Watford, 3pm</t>
  </si>
  <si>
    <t>17: Burnley vs Brighton, 3pm</t>
  </si>
  <si>
    <t>17: Chelsea vs Wolves, 3pm</t>
  </si>
  <si>
    <t>17: Everton vs Bournemouth, 3pm</t>
  </si>
  <si>
    <t>17: Leicester City vs Manchester United, 3pm</t>
  </si>
  <si>
    <t>17: Manchester City vs Norwich City, 3pm</t>
  </si>
  <si>
    <t>17: Newcastle United vs Liverpool, 3pm</t>
  </si>
  <si>
    <t>17: Southampton vs Sheffield United, 3pm</t>
  </si>
  <si>
    <t>17: West Ham United vs Aston Villa, 3pm</t>
  </si>
  <si>
    <t>1:  Bournemouth vs Aston Villa, 3pm</t>
  </si>
  <si>
    <t>1:  Burnley vs Arsenal, 3pm</t>
  </si>
  <si>
    <t>1:  Crystal Palace vs Sheffield United, 3pm</t>
  </si>
  <si>
    <t>1:  Leicester City vs Chelsea, 3pm</t>
  </si>
  <si>
    <t>1:  Liverpool vs Southampton, 3pm</t>
  </si>
  <si>
    <t>1:  Manchester United vs Wolves, 3pm</t>
  </si>
  <si>
    <t>1:  Newcastle United vs Norwich City, 3pm</t>
  </si>
  <si>
    <t>1:  Tottenham Hotspur vs Manchester City, 3pm</t>
  </si>
  <si>
    <t>1:  Watford vs Everton, 3pm</t>
  </si>
  <si>
    <t>1:  West Ham United vs Brighton, 3pm</t>
  </si>
  <si>
    <t>17:  Crystal Palace vs Tottenham Hotspur, 3pm</t>
  </si>
  <si>
    <t>Day</t>
  </si>
  <si>
    <t>Year</t>
  </si>
  <si>
    <t>Month</t>
  </si>
  <si>
    <t>AwfulText</t>
  </si>
  <si>
    <t>Home</t>
  </si>
  <si>
    <t>Away</t>
  </si>
  <si>
    <t>Date</t>
  </si>
  <si>
    <t>30: Southampton vs Watford, 3pm</t>
  </si>
  <si>
    <t>30: Norwich City vs Arsenal, 3pm</t>
  </si>
  <si>
    <t>30: Newcastle United vs Manchester City, 3pm</t>
  </si>
  <si>
    <t>14: Burnley vs Newcastle United, 3pm</t>
  </si>
  <si>
    <t>1: Newcastle United vs Leicester City, 3pm</t>
  </si>
  <si>
    <t>Time</t>
  </si>
  <si>
    <t>HorridTime</t>
  </si>
  <si>
    <t xml:space="preserve"> 20:00</t>
  </si>
  <si>
    <t xml:space="preserve"> 12:30</t>
  </si>
  <si>
    <t xml:space="preserve"> 15:00</t>
  </si>
  <si>
    <t xml:space="preserve"> 17:30</t>
  </si>
  <si>
    <t xml:space="preserve"> 14:00</t>
  </si>
  <si>
    <t xml:space="preserve"> 16:30</t>
  </si>
  <si>
    <t>3: Arsenal vs Brighton, 19:45</t>
  </si>
  <si>
    <t>3: Burnley vs Manchester City, 19:45</t>
  </si>
  <si>
    <t>3: Leicester City vs Watford, 19:45</t>
  </si>
  <si>
    <t>3: Wolves vs West Ham United, 19:45</t>
  </si>
  <si>
    <t>3: Sheffield United vs Newcastle United, 19:45</t>
  </si>
  <si>
    <t>4: Chelsea vs Aston Villa, 19:45</t>
  </si>
  <si>
    <t>4: Southampton vs Norwich City, 19:45</t>
  </si>
  <si>
    <t>4: Crystal Palace vs Bournemouth, 8pm</t>
  </si>
  <si>
    <t>21: Bournemouth vs Brighton, 19:45</t>
  </si>
  <si>
    <t>21: Aston Villa vs Watford, 19:45</t>
  </si>
  <si>
    <t>21: Everton vs Newcastle United, 19:45</t>
  </si>
  <si>
    <t>21: Leicester City vs West Ham United, 19:45</t>
  </si>
  <si>
    <t>21: Sheffield United vs Manchester City, 19:45</t>
  </si>
  <si>
    <t>21: Wolves vs Liverpool, 19:45</t>
  </si>
  <si>
    <t>22: Chelsea vs Arsenal, 19:45</t>
  </si>
  <si>
    <t>22: Tottenham Hotspur vs Norwich City, 19:45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</si>
</sst>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FA4A-D3F4-43DB-BC07-0AF531028ED0}">
  <dimension ref="A1:I381"/>
  <sheetViews>
    <sheetView tabSelected="1" workbookViewId="0">
      <selection activeCell="D1" sqref="D1"/>
    </sheetView>
  </sheetViews>
  <sheetFormatPr defaultRowHeight="15" x14ac:dyDescent="0.25"/>
  <cols>
    <col min="1" max="1" width="5" bestFit="1" customWidth="1"/>
    <col min="2" max="2" width="6.85546875" bestFit="1" customWidth="1"/>
    <col min="3" max="3" width="4.28515625" bestFit="1" customWidth="1"/>
    <col min="4" max="4" width="46.85546875" bestFit="1" customWidth="1"/>
    <col min="5" max="5" width="46.85546875" customWidth="1"/>
    <col min="6" max="7" width="11.28515625" bestFit="1" customWidth="1"/>
    <col min="8" max="8" width="18.85546875" bestFit="1" customWidth="1"/>
    <col min="9" max="9" width="33.7109375" customWidth="1"/>
  </cols>
  <sheetData>
    <row r="1" spans="1:9" x14ac:dyDescent="0.25">
      <c r="A1" s="1" t="s">
        <v>361</v>
      </c>
      <c r="B1" s="1" t="s">
        <v>362</v>
      </c>
      <c r="C1" s="1" t="s">
        <v>360</v>
      </c>
      <c r="D1" s="1" t="s">
        <v>363</v>
      </c>
      <c r="E1" s="1" t="s">
        <v>366</v>
      </c>
      <c r="F1" s="1" t="s">
        <v>373</v>
      </c>
      <c r="G1" s="1" t="s">
        <v>372</v>
      </c>
      <c r="H1" s="1" t="s">
        <v>364</v>
      </c>
      <c r="I1" s="1" t="s">
        <v>365</v>
      </c>
    </row>
    <row r="2" spans="1:9" x14ac:dyDescent="0.25">
      <c r="A2">
        <v>2019</v>
      </c>
      <c r="B2">
        <v>8</v>
      </c>
      <c r="C2" t="str">
        <f>LEFT(D2,FIND(":",D2,1)-1)</f>
        <v>9</v>
      </c>
      <c r="D2" t="s">
        <v>1</v>
      </c>
      <c r="E2" s="2">
        <f>DATE(A2, B2, C2)</f>
        <v>43686</v>
      </c>
      <c r="F2" s="2" t="str">
        <f>RIGHT(D2, (LEN(D2) - FIND(", ", D2)))</f>
        <v xml:space="preserve"> 8pm</v>
      </c>
      <c r="G2" s="3" t="s">
        <v>374</v>
      </c>
      <c r="H2" t="str">
        <f>RIGHT(LEFT(D2,FIND(" vs ",D2,1)-1), (LEN(LEFT(D2,FIND(" vs ",D2,1)-1))-FIND(":",D2, 1) - 1))</f>
        <v>Liverpool</v>
      </c>
      <c r="I2" t="str">
        <f>LEFT(RIGHT(D2,LEN(D2)-FIND("vs",D2)-2),FIND(", ",RIGHT(D2,LEN(D2)-FIND("vs",D2)-3)))</f>
        <v>Norwich City</v>
      </c>
    </row>
    <row r="3" spans="1:9" x14ac:dyDescent="0.25">
      <c r="A3">
        <v>2019</v>
      </c>
      <c r="B3">
        <v>8</v>
      </c>
      <c r="C3" t="str">
        <f>LEFT(D3,FIND(":",D3,1)-1)</f>
        <v>10</v>
      </c>
      <c r="D3" t="s">
        <v>2</v>
      </c>
      <c r="E3" s="2">
        <f t="shared" ref="E3:E66" si="0">DATE(A3, B3, C3)</f>
        <v>43687</v>
      </c>
      <c r="F3" s="2" t="str">
        <f t="shared" ref="F3:F66" si="1">RIGHT(D3, (LEN(D3) - FIND(", ", D3)))</f>
        <v xml:space="preserve"> 12.30pm</v>
      </c>
      <c r="G3" s="3" t="s">
        <v>375</v>
      </c>
      <c r="H3" t="str">
        <f t="shared" ref="H3:H66" si="2">RIGHT(LEFT(D3,FIND(" vs ",D3,1)-1), (LEN(LEFT(D3,FIND(" vs ",D3,1)-1))-FIND(":",D3, 1) - 1))</f>
        <v>West Ham</v>
      </c>
      <c r="I3" t="str">
        <f>LEFT(RIGHT(D3,LEN(D3)-FIND("vs",D3)-2),FIND(", ",RIGHT(D3,LEN(D3)-FIND("vs",D3)-3)))</f>
        <v>Manchester City</v>
      </c>
    </row>
    <row r="4" spans="1:9" x14ac:dyDescent="0.25">
      <c r="A4">
        <v>2019</v>
      </c>
      <c r="B4">
        <v>8</v>
      </c>
      <c r="C4" t="str">
        <f>LEFT(D4,FIND(":",D4,1)-1)</f>
        <v>10</v>
      </c>
      <c r="D4" t="s">
        <v>3</v>
      </c>
      <c r="E4" s="2">
        <f t="shared" si="0"/>
        <v>43687</v>
      </c>
      <c r="F4" s="2" t="str">
        <f t="shared" si="1"/>
        <v xml:space="preserve"> 3pm</v>
      </c>
      <c r="G4" s="2" t="s">
        <v>376</v>
      </c>
      <c r="H4" t="str">
        <f t="shared" si="2"/>
        <v>Bournemouth</v>
      </c>
      <c r="I4" t="str">
        <f>LEFT(RIGHT(D4,LEN(D4)-FIND("vs",D4)-2),FIND(", ",RIGHT(D4,LEN(D4)-FIND("vs",D4)-3)))</f>
        <v>Sheffield United</v>
      </c>
    </row>
    <row r="5" spans="1:9" x14ac:dyDescent="0.25">
      <c r="A5">
        <v>2019</v>
      </c>
      <c r="B5">
        <v>8</v>
      </c>
      <c r="C5" t="str">
        <f t="shared" ref="C5:C68" si="3">LEFT(D5,FIND(":",D5,1)-1)</f>
        <v>10</v>
      </c>
      <c r="D5" t="s">
        <v>4</v>
      </c>
      <c r="E5" s="2">
        <f t="shared" si="0"/>
        <v>43687</v>
      </c>
      <c r="F5" s="2" t="str">
        <f t="shared" si="1"/>
        <v xml:space="preserve"> 3pm</v>
      </c>
      <c r="G5" s="2" t="s">
        <v>376</v>
      </c>
      <c r="H5" t="str">
        <f t="shared" si="2"/>
        <v>Burnley</v>
      </c>
      <c r="I5" t="str">
        <f t="shared" ref="I5:I68" si="4">LEFT(RIGHT(D5,LEN(D5)-FIND("vs",D5)-2),FIND(", ",RIGHT(D5,LEN(D5)-FIND("vs",D5)-3)))</f>
        <v>Southampton</v>
      </c>
    </row>
    <row r="6" spans="1:9" x14ac:dyDescent="0.25">
      <c r="A6">
        <v>2019</v>
      </c>
      <c r="B6">
        <v>8</v>
      </c>
      <c r="C6" t="str">
        <f t="shared" si="3"/>
        <v>10</v>
      </c>
      <c r="D6" t="s">
        <v>5</v>
      </c>
      <c r="E6" s="2">
        <f t="shared" si="0"/>
        <v>43687</v>
      </c>
      <c r="F6" s="2" t="str">
        <f t="shared" si="1"/>
        <v xml:space="preserve"> 3pm</v>
      </c>
      <c r="G6" s="2" t="s">
        <v>376</v>
      </c>
      <c r="H6" t="str">
        <f t="shared" si="2"/>
        <v>Crystal Palace</v>
      </c>
      <c r="I6" t="str">
        <f t="shared" si="4"/>
        <v>Everton</v>
      </c>
    </row>
    <row r="7" spans="1:9" x14ac:dyDescent="0.25">
      <c r="A7">
        <v>2019</v>
      </c>
      <c r="B7">
        <v>8</v>
      </c>
      <c r="C7" t="str">
        <f t="shared" si="3"/>
        <v>10</v>
      </c>
      <c r="D7" t="s">
        <v>6</v>
      </c>
      <c r="E7" s="2">
        <f t="shared" si="0"/>
        <v>43687</v>
      </c>
      <c r="F7" s="2" t="str">
        <f t="shared" si="1"/>
        <v xml:space="preserve"> 3pm</v>
      </c>
      <c r="G7" s="2" t="s">
        <v>376</v>
      </c>
      <c r="H7" t="str">
        <f t="shared" si="2"/>
        <v>Leicester</v>
      </c>
      <c r="I7" t="str">
        <f t="shared" si="4"/>
        <v>Wolves</v>
      </c>
    </row>
    <row r="8" spans="1:9" x14ac:dyDescent="0.25">
      <c r="A8">
        <v>2019</v>
      </c>
      <c r="B8">
        <v>8</v>
      </c>
      <c r="C8" t="str">
        <f t="shared" si="3"/>
        <v>10</v>
      </c>
      <c r="D8" t="s">
        <v>7</v>
      </c>
      <c r="E8" s="2">
        <f t="shared" si="0"/>
        <v>43687</v>
      </c>
      <c r="F8" s="2" t="str">
        <f t="shared" si="1"/>
        <v xml:space="preserve"> 3pm</v>
      </c>
      <c r="G8" s="2" t="s">
        <v>376</v>
      </c>
      <c r="H8" t="str">
        <f t="shared" si="2"/>
        <v>Watford</v>
      </c>
      <c r="I8" t="str">
        <f t="shared" si="4"/>
        <v>Brighton</v>
      </c>
    </row>
    <row r="9" spans="1:9" x14ac:dyDescent="0.25">
      <c r="A9">
        <v>2019</v>
      </c>
      <c r="B9">
        <v>8</v>
      </c>
      <c r="C9" t="str">
        <f t="shared" si="3"/>
        <v>10</v>
      </c>
      <c r="D9" t="s">
        <v>8</v>
      </c>
      <c r="E9" s="2">
        <f t="shared" si="0"/>
        <v>43687</v>
      </c>
      <c r="F9" s="2" t="str">
        <f t="shared" si="1"/>
        <v xml:space="preserve"> 5.30pm</v>
      </c>
      <c r="G9" s="2" t="s">
        <v>377</v>
      </c>
      <c r="H9" t="str">
        <f t="shared" si="2"/>
        <v>Tottenham</v>
      </c>
      <c r="I9" t="str">
        <f t="shared" si="4"/>
        <v>Aston Villa</v>
      </c>
    </row>
    <row r="10" spans="1:9" x14ac:dyDescent="0.25">
      <c r="A10">
        <v>2019</v>
      </c>
      <c r="B10">
        <v>8</v>
      </c>
      <c r="C10" t="str">
        <f t="shared" si="3"/>
        <v>11</v>
      </c>
      <c r="D10" t="s">
        <v>9</v>
      </c>
      <c r="E10" s="2">
        <f t="shared" si="0"/>
        <v>43688</v>
      </c>
      <c r="F10" s="2" t="str">
        <f t="shared" si="1"/>
        <v xml:space="preserve"> 2pm</v>
      </c>
      <c r="G10" s="2" t="s">
        <v>378</v>
      </c>
      <c r="H10" t="str">
        <f t="shared" si="2"/>
        <v>Newcastle</v>
      </c>
      <c r="I10" t="str">
        <f t="shared" si="4"/>
        <v>Arsenal</v>
      </c>
    </row>
    <row r="11" spans="1:9" x14ac:dyDescent="0.25">
      <c r="A11">
        <v>2019</v>
      </c>
      <c r="B11">
        <v>8</v>
      </c>
      <c r="C11" t="str">
        <f t="shared" si="3"/>
        <v>11</v>
      </c>
      <c r="D11" t="s">
        <v>10</v>
      </c>
      <c r="E11" s="2">
        <f t="shared" si="0"/>
        <v>43688</v>
      </c>
      <c r="F11" s="2" t="str">
        <f t="shared" si="1"/>
        <v xml:space="preserve"> 4.30pm</v>
      </c>
      <c r="G11" s="2" t="s">
        <v>379</v>
      </c>
      <c r="H11" t="str">
        <f t="shared" si="2"/>
        <v>Manchester United</v>
      </c>
      <c r="I11" t="str">
        <f t="shared" si="4"/>
        <v>Chelsea</v>
      </c>
    </row>
    <row r="12" spans="1:9" x14ac:dyDescent="0.25">
      <c r="A12">
        <v>2019</v>
      </c>
      <c r="B12">
        <v>8</v>
      </c>
      <c r="C12" t="str">
        <f t="shared" si="3"/>
        <v>17</v>
      </c>
      <c r="D12" t="s">
        <v>11</v>
      </c>
      <c r="E12" s="2">
        <f t="shared" si="0"/>
        <v>43694</v>
      </c>
      <c r="F12" s="2" t="str">
        <f t="shared" si="1"/>
        <v xml:space="preserve"> 3pm</v>
      </c>
      <c r="G12" s="2" t="s">
        <v>376</v>
      </c>
      <c r="H12" t="str">
        <f t="shared" si="2"/>
        <v>Arsenal</v>
      </c>
      <c r="I12" t="str">
        <f t="shared" si="4"/>
        <v>Burnley</v>
      </c>
    </row>
    <row r="13" spans="1:9" x14ac:dyDescent="0.25">
      <c r="A13">
        <v>2019</v>
      </c>
      <c r="B13">
        <v>8</v>
      </c>
      <c r="C13" t="str">
        <f t="shared" si="3"/>
        <v>17</v>
      </c>
      <c r="D13" t="s">
        <v>12</v>
      </c>
      <c r="E13" s="2">
        <f t="shared" si="0"/>
        <v>43694</v>
      </c>
      <c r="F13" s="2" t="str">
        <f t="shared" si="1"/>
        <v xml:space="preserve"> 3pm</v>
      </c>
      <c r="G13" s="2" t="s">
        <v>376</v>
      </c>
      <c r="H13" t="str">
        <f t="shared" si="2"/>
        <v>Aston Villa</v>
      </c>
      <c r="I13" t="str">
        <f t="shared" si="4"/>
        <v>Bournemouth</v>
      </c>
    </row>
    <row r="14" spans="1:9" x14ac:dyDescent="0.25">
      <c r="A14">
        <v>2019</v>
      </c>
      <c r="B14">
        <v>8</v>
      </c>
      <c r="C14" t="str">
        <f t="shared" si="3"/>
        <v>17</v>
      </c>
      <c r="D14" t="s">
        <v>13</v>
      </c>
      <c r="E14" s="2">
        <f t="shared" si="0"/>
        <v>43694</v>
      </c>
      <c r="F14" s="2" t="str">
        <f t="shared" si="1"/>
        <v xml:space="preserve"> 3pm</v>
      </c>
      <c r="G14" s="2" t="s">
        <v>376</v>
      </c>
      <c r="H14" t="str">
        <f t="shared" si="2"/>
        <v>Brighton</v>
      </c>
      <c r="I14" t="str">
        <f t="shared" si="4"/>
        <v>West Ham United</v>
      </c>
    </row>
    <row r="15" spans="1:9" x14ac:dyDescent="0.25">
      <c r="A15">
        <v>2019</v>
      </c>
      <c r="B15">
        <v>8</v>
      </c>
      <c r="C15" t="str">
        <f t="shared" si="3"/>
        <v>17</v>
      </c>
      <c r="D15" t="s">
        <v>14</v>
      </c>
      <c r="E15" s="2">
        <f t="shared" si="0"/>
        <v>43694</v>
      </c>
      <c r="F15" s="2" t="str">
        <f t="shared" si="1"/>
        <v xml:space="preserve"> 3pm</v>
      </c>
      <c r="G15" s="2" t="s">
        <v>376</v>
      </c>
      <c r="H15" t="str">
        <f t="shared" si="2"/>
        <v>Chelsea</v>
      </c>
      <c r="I15" t="str">
        <f t="shared" si="4"/>
        <v>Leicester City</v>
      </c>
    </row>
    <row r="16" spans="1:9" x14ac:dyDescent="0.25">
      <c r="A16">
        <v>2019</v>
      </c>
      <c r="B16">
        <v>8</v>
      </c>
      <c r="C16" t="str">
        <f t="shared" si="3"/>
        <v>17</v>
      </c>
      <c r="D16" t="s">
        <v>15</v>
      </c>
      <c r="E16" s="2">
        <f t="shared" si="0"/>
        <v>43694</v>
      </c>
      <c r="F16" s="2" t="str">
        <f t="shared" si="1"/>
        <v xml:space="preserve"> 3pm</v>
      </c>
      <c r="G16" s="2" t="s">
        <v>376</v>
      </c>
      <c r="H16" t="str">
        <f t="shared" si="2"/>
        <v>Everton</v>
      </c>
      <c r="I16" t="str">
        <f t="shared" si="4"/>
        <v>Watford</v>
      </c>
    </row>
    <row r="17" spans="1:9" x14ac:dyDescent="0.25">
      <c r="A17">
        <v>2019</v>
      </c>
      <c r="B17">
        <v>8</v>
      </c>
      <c r="C17" t="str">
        <f t="shared" si="3"/>
        <v>17</v>
      </c>
      <c r="D17" t="s">
        <v>16</v>
      </c>
      <c r="E17" s="2">
        <f t="shared" si="0"/>
        <v>43694</v>
      </c>
      <c r="F17" s="2" t="str">
        <f t="shared" si="1"/>
        <v xml:space="preserve"> 3pm</v>
      </c>
      <c r="G17" s="2" t="s">
        <v>376</v>
      </c>
      <c r="H17" t="str">
        <f t="shared" si="2"/>
        <v>Manchester City</v>
      </c>
      <c r="I17" t="str">
        <f t="shared" si="4"/>
        <v>Tottenham Hotspur</v>
      </c>
    </row>
    <row r="18" spans="1:9" x14ac:dyDescent="0.25">
      <c r="A18">
        <v>2019</v>
      </c>
      <c r="B18">
        <v>8</v>
      </c>
      <c r="C18" t="str">
        <f t="shared" si="3"/>
        <v>17</v>
      </c>
      <c r="D18" t="s">
        <v>17</v>
      </c>
      <c r="E18" s="2">
        <f t="shared" si="0"/>
        <v>43694</v>
      </c>
      <c r="F18" s="2" t="str">
        <f t="shared" si="1"/>
        <v xml:space="preserve"> 3pm</v>
      </c>
      <c r="G18" s="2" t="s">
        <v>376</v>
      </c>
      <c r="H18" t="str">
        <f t="shared" si="2"/>
        <v>Norwich City</v>
      </c>
      <c r="I18" t="str">
        <f t="shared" si="4"/>
        <v>Newcastle United</v>
      </c>
    </row>
    <row r="19" spans="1:9" x14ac:dyDescent="0.25">
      <c r="A19">
        <v>2019</v>
      </c>
      <c r="B19">
        <v>8</v>
      </c>
      <c r="C19" t="str">
        <f t="shared" si="3"/>
        <v>17</v>
      </c>
      <c r="D19" t="s">
        <v>18</v>
      </c>
      <c r="E19" s="2">
        <f t="shared" si="0"/>
        <v>43694</v>
      </c>
      <c r="F19" s="2" t="str">
        <f t="shared" si="1"/>
        <v xml:space="preserve"> 3pm</v>
      </c>
      <c r="G19" s="2" t="s">
        <v>376</v>
      </c>
      <c r="H19" t="str">
        <f t="shared" si="2"/>
        <v>Sheffield United</v>
      </c>
      <c r="I19" t="str">
        <f t="shared" si="4"/>
        <v>Crystal Palace</v>
      </c>
    </row>
    <row r="20" spans="1:9" x14ac:dyDescent="0.25">
      <c r="A20">
        <v>2019</v>
      </c>
      <c r="B20">
        <v>8</v>
      </c>
      <c r="C20" t="str">
        <f t="shared" si="3"/>
        <v>17</v>
      </c>
      <c r="D20" t="s">
        <v>19</v>
      </c>
      <c r="E20" s="2">
        <f t="shared" si="0"/>
        <v>43694</v>
      </c>
      <c r="F20" s="2" t="str">
        <f t="shared" si="1"/>
        <v xml:space="preserve"> 3pm</v>
      </c>
      <c r="G20" s="2" t="s">
        <v>376</v>
      </c>
      <c r="H20" t="str">
        <f t="shared" si="2"/>
        <v>Southampton</v>
      </c>
      <c r="I20" t="str">
        <f t="shared" si="4"/>
        <v>Liverpool</v>
      </c>
    </row>
    <row r="21" spans="1:9" x14ac:dyDescent="0.25">
      <c r="A21">
        <v>2019</v>
      </c>
      <c r="B21">
        <v>8</v>
      </c>
      <c r="C21" t="str">
        <f t="shared" si="3"/>
        <v>17</v>
      </c>
      <c r="D21" t="s">
        <v>20</v>
      </c>
      <c r="E21" s="2">
        <f t="shared" si="0"/>
        <v>43694</v>
      </c>
      <c r="F21" s="2" t="str">
        <f t="shared" si="1"/>
        <v xml:space="preserve"> 3pm</v>
      </c>
      <c r="G21" s="2" t="s">
        <v>376</v>
      </c>
      <c r="H21" t="str">
        <f t="shared" si="2"/>
        <v>Wolves</v>
      </c>
      <c r="I21" t="str">
        <f t="shared" si="4"/>
        <v>Manchester United</v>
      </c>
    </row>
    <row r="22" spans="1:9" x14ac:dyDescent="0.25">
      <c r="A22">
        <v>2019</v>
      </c>
      <c r="B22">
        <v>8</v>
      </c>
      <c r="C22" t="str">
        <f t="shared" si="3"/>
        <v>24</v>
      </c>
      <c r="D22" t="s">
        <v>21</v>
      </c>
      <c r="E22" s="2">
        <f t="shared" si="0"/>
        <v>43701</v>
      </c>
      <c r="F22" s="2" t="str">
        <f t="shared" si="1"/>
        <v xml:space="preserve"> 3pm</v>
      </c>
      <c r="G22" s="2" t="s">
        <v>376</v>
      </c>
      <c r="H22" t="str">
        <f t="shared" si="2"/>
        <v>Bournemouth</v>
      </c>
      <c r="I22" t="str">
        <f t="shared" si="4"/>
        <v>Manchester City</v>
      </c>
    </row>
    <row r="23" spans="1:9" x14ac:dyDescent="0.25">
      <c r="A23">
        <v>2019</v>
      </c>
      <c r="B23">
        <v>8</v>
      </c>
      <c r="C23" t="str">
        <f t="shared" si="3"/>
        <v>24</v>
      </c>
      <c r="D23" t="s">
        <v>22</v>
      </c>
      <c r="E23" s="2">
        <f t="shared" si="0"/>
        <v>43701</v>
      </c>
      <c r="F23" s="2" t="str">
        <f t="shared" si="1"/>
        <v xml:space="preserve"> 3pm</v>
      </c>
      <c r="G23" s="2" t="s">
        <v>376</v>
      </c>
      <c r="H23" t="str">
        <f t="shared" si="2"/>
        <v>Aston Villa</v>
      </c>
      <c r="I23" t="str">
        <f t="shared" si="4"/>
        <v>Everton</v>
      </c>
    </row>
    <row r="24" spans="1:9" x14ac:dyDescent="0.25">
      <c r="A24">
        <v>2019</v>
      </c>
      <c r="B24">
        <v>8</v>
      </c>
      <c r="C24" t="str">
        <f t="shared" si="3"/>
        <v>24</v>
      </c>
      <c r="D24" t="s">
        <v>23</v>
      </c>
      <c r="E24" s="2">
        <f t="shared" si="0"/>
        <v>43701</v>
      </c>
      <c r="F24" s="2" t="str">
        <f t="shared" si="1"/>
        <v xml:space="preserve"> 3pm</v>
      </c>
      <c r="G24" s="2" t="s">
        <v>376</v>
      </c>
      <c r="H24" t="str">
        <f t="shared" si="2"/>
        <v>Brighton</v>
      </c>
      <c r="I24" t="str">
        <f t="shared" si="4"/>
        <v>Southampton</v>
      </c>
    </row>
    <row r="25" spans="1:9" x14ac:dyDescent="0.25">
      <c r="A25">
        <v>2019</v>
      </c>
      <c r="B25">
        <v>8</v>
      </c>
      <c r="C25" t="str">
        <f t="shared" si="3"/>
        <v>24</v>
      </c>
      <c r="D25" t="s">
        <v>24</v>
      </c>
      <c r="E25" s="2">
        <f t="shared" si="0"/>
        <v>43701</v>
      </c>
      <c r="F25" s="2" t="str">
        <f t="shared" si="1"/>
        <v xml:space="preserve"> 3pm</v>
      </c>
      <c r="G25" s="2" t="s">
        <v>376</v>
      </c>
      <c r="H25" t="str">
        <f t="shared" si="2"/>
        <v>Liverpool</v>
      </c>
      <c r="I25" t="str">
        <f t="shared" si="4"/>
        <v>Arsenal</v>
      </c>
    </row>
    <row r="26" spans="1:9" x14ac:dyDescent="0.25">
      <c r="A26">
        <v>2019</v>
      </c>
      <c r="B26">
        <v>8</v>
      </c>
      <c r="C26" t="str">
        <f t="shared" si="3"/>
        <v>24</v>
      </c>
      <c r="D26" t="s">
        <v>25</v>
      </c>
      <c r="E26" s="2">
        <f t="shared" si="0"/>
        <v>43701</v>
      </c>
      <c r="F26" s="2" t="str">
        <f t="shared" si="1"/>
        <v xml:space="preserve"> 3pm</v>
      </c>
      <c r="G26" s="2" t="s">
        <v>376</v>
      </c>
      <c r="H26" t="str">
        <f t="shared" si="2"/>
        <v>Manchester United</v>
      </c>
      <c r="I26" t="str">
        <f t="shared" si="4"/>
        <v>Crystal Palace</v>
      </c>
    </row>
    <row r="27" spans="1:9" x14ac:dyDescent="0.25">
      <c r="A27">
        <v>2019</v>
      </c>
      <c r="B27">
        <v>8</v>
      </c>
      <c r="C27" t="str">
        <f t="shared" si="3"/>
        <v>24</v>
      </c>
      <c r="D27" t="s">
        <v>26</v>
      </c>
      <c r="E27" s="2">
        <f t="shared" si="0"/>
        <v>43701</v>
      </c>
      <c r="F27" s="2" t="str">
        <f t="shared" si="1"/>
        <v xml:space="preserve"> 3pm</v>
      </c>
      <c r="G27" s="2" t="s">
        <v>376</v>
      </c>
      <c r="H27" t="str">
        <f t="shared" si="2"/>
        <v>Norwich City</v>
      </c>
      <c r="I27" t="str">
        <f t="shared" si="4"/>
        <v>Chelsea</v>
      </c>
    </row>
    <row r="28" spans="1:9" x14ac:dyDescent="0.25">
      <c r="A28">
        <v>2019</v>
      </c>
      <c r="B28">
        <v>8</v>
      </c>
      <c r="C28" t="str">
        <f t="shared" si="3"/>
        <v>24</v>
      </c>
      <c r="D28" t="s">
        <v>27</v>
      </c>
      <c r="E28" s="2">
        <f t="shared" si="0"/>
        <v>43701</v>
      </c>
      <c r="F28" s="2" t="str">
        <f t="shared" si="1"/>
        <v xml:space="preserve"> 3pm</v>
      </c>
      <c r="G28" s="2" t="s">
        <v>376</v>
      </c>
      <c r="H28" t="str">
        <f t="shared" si="2"/>
        <v>Sheffield United</v>
      </c>
      <c r="I28" t="str">
        <f t="shared" si="4"/>
        <v>Leicester City</v>
      </c>
    </row>
    <row r="29" spans="1:9" x14ac:dyDescent="0.25">
      <c r="A29">
        <v>2019</v>
      </c>
      <c r="B29">
        <v>8</v>
      </c>
      <c r="C29" t="str">
        <f t="shared" si="3"/>
        <v>24</v>
      </c>
      <c r="D29" t="s">
        <v>28</v>
      </c>
      <c r="E29" s="2">
        <f t="shared" si="0"/>
        <v>43701</v>
      </c>
      <c r="F29" s="2" t="str">
        <f t="shared" si="1"/>
        <v xml:space="preserve"> 3pm</v>
      </c>
      <c r="G29" s="2" t="s">
        <v>376</v>
      </c>
      <c r="H29" t="str">
        <f t="shared" si="2"/>
        <v>Tottenham Hotspur</v>
      </c>
      <c r="I29" t="str">
        <f t="shared" si="4"/>
        <v>Newcastle United</v>
      </c>
    </row>
    <row r="30" spans="1:9" x14ac:dyDescent="0.25">
      <c r="A30">
        <v>2019</v>
      </c>
      <c r="B30">
        <v>8</v>
      </c>
      <c r="C30" t="str">
        <f t="shared" si="3"/>
        <v>24</v>
      </c>
      <c r="D30" t="s">
        <v>29</v>
      </c>
      <c r="E30" s="2">
        <f t="shared" si="0"/>
        <v>43701</v>
      </c>
      <c r="F30" s="2" t="str">
        <f t="shared" si="1"/>
        <v xml:space="preserve"> 3pm</v>
      </c>
      <c r="G30" s="2" t="s">
        <v>376</v>
      </c>
      <c r="H30" t="str">
        <f t="shared" si="2"/>
        <v>Watford</v>
      </c>
      <c r="I30" t="str">
        <f t="shared" si="4"/>
        <v>West Ham United</v>
      </c>
    </row>
    <row r="31" spans="1:9" x14ac:dyDescent="0.25">
      <c r="A31">
        <v>2019</v>
      </c>
      <c r="B31">
        <v>8</v>
      </c>
      <c r="C31" t="str">
        <f t="shared" si="3"/>
        <v>24</v>
      </c>
      <c r="D31" t="s">
        <v>30</v>
      </c>
      <c r="E31" s="2">
        <f t="shared" si="0"/>
        <v>43701</v>
      </c>
      <c r="F31" s="2" t="str">
        <f t="shared" si="1"/>
        <v xml:space="preserve"> 3pm</v>
      </c>
      <c r="G31" s="2" t="s">
        <v>376</v>
      </c>
      <c r="H31" t="str">
        <f t="shared" si="2"/>
        <v>Wolves</v>
      </c>
      <c r="I31" t="str">
        <f t="shared" si="4"/>
        <v>Burnley</v>
      </c>
    </row>
    <row r="32" spans="1:9" x14ac:dyDescent="0.25">
      <c r="A32">
        <v>2019</v>
      </c>
      <c r="B32">
        <v>8</v>
      </c>
      <c r="C32" t="str">
        <f t="shared" si="3"/>
        <v>31</v>
      </c>
      <c r="D32" t="s">
        <v>31</v>
      </c>
      <c r="E32" s="2">
        <f t="shared" si="0"/>
        <v>43708</v>
      </c>
      <c r="F32" s="2" t="str">
        <f t="shared" si="1"/>
        <v xml:space="preserve"> 3pm</v>
      </c>
      <c r="G32" s="2" t="s">
        <v>376</v>
      </c>
      <c r="H32" t="str">
        <f t="shared" si="2"/>
        <v>Arsenal</v>
      </c>
      <c r="I32" t="str">
        <f t="shared" si="4"/>
        <v>Tottenham Hotspur</v>
      </c>
    </row>
    <row r="33" spans="1:9" x14ac:dyDescent="0.25">
      <c r="A33">
        <v>2019</v>
      </c>
      <c r="B33">
        <v>8</v>
      </c>
      <c r="C33" t="str">
        <f t="shared" si="3"/>
        <v>31</v>
      </c>
      <c r="D33" t="s">
        <v>32</v>
      </c>
      <c r="E33" s="2">
        <f t="shared" si="0"/>
        <v>43708</v>
      </c>
      <c r="F33" s="2" t="str">
        <f t="shared" si="1"/>
        <v xml:space="preserve"> 3pm</v>
      </c>
      <c r="G33" s="2" t="s">
        <v>376</v>
      </c>
      <c r="H33" t="str">
        <f t="shared" si="2"/>
        <v>Burnley</v>
      </c>
      <c r="I33" t="str">
        <f t="shared" si="4"/>
        <v>Liverpool</v>
      </c>
    </row>
    <row r="34" spans="1:9" x14ac:dyDescent="0.25">
      <c r="A34">
        <v>2019</v>
      </c>
      <c r="B34">
        <v>8</v>
      </c>
      <c r="C34" t="str">
        <f t="shared" si="3"/>
        <v>31</v>
      </c>
      <c r="D34" t="s">
        <v>33</v>
      </c>
      <c r="E34" s="2">
        <f t="shared" si="0"/>
        <v>43708</v>
      </c>
      <c r="F34" s="2" t="str">
        <f t="shared" si="1"/>
        <v xml:space="preserve"> 3pm</v>
      </c>
      <c r="G34" s="2" t="s">
        <v>376</v>
      </c>
      <c r="H34" t="str">
        <f t="shared" si="2"/>
        <v>Chelsea</v>
      </c>
      <c r="I34" t="str">
        <f t="shared" si="4"/>
        <v>Sheffield United</v>
      </c>
    </row>
    <row r="35" spans="1:9" x14ac:dyDescent="0.25">
      <c r="A35">
        <v>2019</v>
      </c>
      <c r="B35">
        <v>8</v>
      </c>
      <c r="C35" t="str">
        <f t="shared" si="3"/>
        <v>31</v>
      </c>
      <c r="D35" t="s">
        <v>34</v>
      </c>
      <c r="E35" s="2">
        <f t="shared" si="0"/>
        <v>43708</v>
      </c>
      <c r="F35" s="2" t="str">
        <f t="shared" si="1"/>
        <v xml:space="preserve"> 3pm</v>
      </c>
      <c r="G35" s="2" t="s">
        <v>376</v>
      </c>
      <c r="H35" t="str">
        <f t="shared" si="2"/>
        <v>Crystal Palace</v>
      </c>
      <c r="I35" t="str">
        <f t="shared" si="4"/>
        <v>Aston Villa</v>
      </c>
    </row>
    <row r="36" spans="1:9" x14ac:dyDescent="0.25">
      <c r="A36">
        <v>2019</v>
      </c>
      <c r="B36">
        <v>8</v>
      </c>
      <c r="C36" t="str">
        <f t="shared" si="3"/>
        <v>31</v>
      </c>
      <c r="D36" t="s">
        <v>35</v>
      </c>
      <c r="E36" s="2">
        <f t="shared" si="0"/>
        <v>43708</v>
      </c>
      <c r="F36" s="2" t="str">
        <f t="shared" si="1"/>
        <v xml:space="preserve"> 3pm</v>
      </c>
      <c r="G36" s="2" t="s">
        <v>376</v>
      </c>
      <c r="H36" t="str">
        <f t="shared" si="2"/>
        <v>Everton</v>
      </c>
      <c r="I36" t="str">
        <f t="shared" si="4"/>
        <v>Wolves</v>
      </c>
    </row>
    <row r="37" spans="1:9" x14ac:dyDescent="0.25">
      <c r="A37">
        <v>2019</v>
      </c>
      <c r="B37">
        <v>8</v>
      </c>
      <c r="C37" t="str">
        <f t="shared" si="3"/>
        <v>31</v>
      </c>
      <c r="D37" t="s">
        <v>36</v>
      </c>
      <c r="E37" s="2">
        <f t="shared" si="0"/>
        <v>43708</v>
      </c>
      <c r="F37" s="2" t="str">
        <f t="shared" si="1"/>
        <v xml:space="preserve"> 3pm</v>
      </c>
      <c r="G37" s="2" t="s">
        <v>376</v>
      </c>
      <c r="H37" t="str">
        <f t="shared" si="2"/>
        <v>Leicester City</v>
      </c>
      <c r="I37" t="str">
        <f t="shared" si="4"/>
        <v>Bournemouth</v>
      </c>
    </row>
    <row r="38" spans="1:9" x14ac:dyDescent="0.25">
      <c r="A38">
        <v>2019</v>
      </c>
      <c r="B38">
        <v>8</v>
      </c>
      <c r="C38" t="str">
        <f t="shared" si="3"/>
        <v>31</v>
      </c>
      <c r="D38" t="s">
        <v>37</v>
      </c>
      <c r="E38" s="2">
        <f t="shared" si="0"/>
        <v>43708</v>
      </c>
      <c r="F38" s="2" t="str">
        <f t="shared" si="1"/>
        <v xml:space="preserve"> 3pm</v>
      </c>
      <c r="G38" s="2" t="s">
        <v>376</v>
      </c>
      <c r="H38" t="str">
        <f t="shared" si="2"/>
        <v>Manchester City</v>
      </c>
      <c r="I38" t="str">
        <f t="shared" si="4"/>
        <v>Brighton</v>
      </c>
    </row>
    <row r="39" spans="1:9" x14ac:dyDescent="0.25">
      <c r="A39">
        <v>2019</v>
      </c>
      <c r="B39">
        <v>8</v>
      </c>
      <c r="C39" t="str">
        <f t="shared" si="3"/>
        <v>31</v>
      </c>
      <c r="D39" t="s">
        <v>38</v>
      </c>
      <c r="E39" s="2">
        <f t="shared" si="0"/>
        <v>43708</v>
      </c>
      <c r="F39" s="2" t="str">
        <f t="shared" si="1"/>
        <v xml:space="preserve"> 3pm</v>
      </c>
      <c r="G39" s="2" t="s">
        <v>376</v>
      </c>
      <c r="H39" t="str">
        <f t="shared" si="2"/>
        <v>Newcastle United</v>
      </c>
      <c r="I39" t="str">
        <f t="shared" si="4"/>
        <v>Watford</v>
      </c>
    </row>
    <row r="40" spans="1:9" x14ac:dyDescent="0.25">
      <c r="A40">
        <v>2019</v>
      </c>
      <c r="B40">
        <v>8</v>
      </c>
      <c r="C40" t="str">
        <f t="shared" si="3"/>
        <v>31</v>
      </c>
      <c r="D40" t="s">
        <v>39</v>
      </c>
      <c r="E40" s="2">
        <f t="shared" si="0"/>
        <v>43708</v>
      </c>
      <c r="F40" s="2" t="str">
        <f t="shared" si="1"/>
        <v xml:space="preserve"> 3pm</v>
      </c>
      <c r="G40" s="2" t="s">
        <v>376</v>
      </c>
      <c r="H40" t="str">
        <f t="shared" si="2"/>
        <v>Southampton</v>
      </c>
      <c r="I40" t="str">
        <f t="shared" si="4"/>
        <v>Manchester United</v>
      </c>
    </row>
    <row r="41" spans="1:9" x14ac:dyDescent="0.25">
      <c r="A41">
        <v>2019</v>
      </c>
      <c r="B41">
        <v>8</v>
      </c>
      <c r="C41" t="str">
        <f t="shared" si="3"/>
        <v>31</v>
      </c>
      <c r="D41" t="s">
        <v>40</v>
      </c>
      <c r="E41" s="2">
        <f t="shared" si="0"/>
        <v>43708</v>
      </c>
      <c r="F41" s="2" t="str">
        <f t="shared" si="1"/>
        <v xml:space="preserve"> 3pm</v>
      </c>
      <c r="G41" s="2" t="s">
        <v>376</v>
      </c>
      <c r="H41" t="str">
        <f t="shared" si="2"/>
        <v>West Ham United</v>
      </c>
      <c r="I41" t="str">
        <f t="shared" si="4"/>
        <v>Norwich City</v>
      </c>
    </row>
    <row r="42" spans="1:9" x14ac:dyDescent="0.25">
      <c r="A42">
        <v>2019</v>
      </c>
      <c r="B42">
        <v>9</v>
      </c>
      <c r="C42" t="str">
        <f t="shared" si="3"/>
        <v>14</v>
      </c>
      <c r="D42" t="s">
        <v>41</v>
      </c>
      <c r="E42" s="2">
        <f t="shared" si="0"/>
        <v>43722</v>
      </c>
      <c r="F42" s="2" t="str">
        <f t="shared" si="1"/>
        <v xml:space="preserve"> 3pm</v>
      </c>
      <c r="G42" s="2" t="s">
        <v>376</v>
      </c>
      <c r="H42" t="str">
        <f t="shared" si="2"/>
        <v>Bournemouth</v>
      </c>
      <c r="I42" t="str">
        <f t="shared" si="4"/>
        <v>Everton</v>
      </c>
    </row>
    <row r="43" spans="1:9" x14ac:dyDescent="0.25">
      <c r="A43">
        <v>2019</v>
      </c>
      <c r="B43">
        <v>9</v>
      </c>
      <c r="C43" t="str">
        <f t="shared" si="3"/>
        <v>14</v>
      </c>
      <c r="D43" t="s">
        <v>42</v>
      </c>
      <c r="E43" s="2">
        <f t="shared" si="0"/>
        <v>43722</v>
      </c>
      <c r="F43" s="2" t="str">
        <f t="shared" si="1"/>
        <v xml:space="preserve"> 3pm</v>
      </c>
      <c r="G43" s="2" t="s">
        <v>376</v>
      </c>
      <c r="H43" t="str">
        <f t="shared" si="2"/>
        <v>Aston Villa</v>
      </c>
      <c r="I43" t="str">
        <f t="shared" si="4"/>
        <v>West Ham United</v>
      </c>
    </row>
    <row r="44" spans="1:9" x14ac:dyDescent="0.25">
      <c r="A44">
        <v>2019</v>
      </c>
      <c r="B44">
        <v>9</v>
      </c>
      <c r="C44" t="str">
        <f t="shared" si="3"/>
        <v>14</v>
      </c>
      <c r="D44" t="s">
        <v>43</v>
      </c>
      <c r="E44" s="2">
        <f t="shared" si="0"/>
        <v>43722</v>
      </c>
      <c r="F44" s="2" t="str">
        <f t="shared" si="1"/>
        <v xml:space="preserve"> 3pm</v>
      </c>
      <c r="G44" s="2" t="s">
        <v>376</v>
      </c>
      <c r="H44" t="str">
        <f t="shared" si="2"/>
        <v>Brighton</v>
      </c>
      <c r="I44" t="str">
        <f t="shared" si="4"/>
        <v>Burnley</v>
      </c>
    </row>
    <row r="45" spans="1:9" x14ac:dyDescent="0.25">
      <c r="A45">
        <v>2019</v>
      </c>
      <c r="B45">
        <v>9</v>
      </c>
      <c r="C45" t="str">
        <f t="shared" si="3"/>
        <v>14</v>
      </c>
      <c r="D45" t="s">
        <v>44</v>
      </c>
      <c r="E45" s="2">
        <f t="shared" si="0"/>
        <v>43722</v>
      </c>
      <c r="F45" s="2" t="str">
        <f t="shared" si="1"/>
        <v xml:space="preserve"> 3pm</v>
      </c>
      <c r="G45" s="2" t="s">
        <v>376</v>
      </c>
      <c r="H45" t="str">
        <f t="shared" si="2"/>
        <v>Liverpool</v>
      </c>
      <c r="I45" t="str">
        <f t="shared" si="4"/>
        <v>Newcastle United</v>
      </c>
    </row>
    <row r="46" spans="1:9" x14ac:dyDescent="0.25">
      <c r="A46">
        <v>2019</v>
      </c>
      <c r="B46">
        <v>9</v>
      </c>
      <c r="C46" t="str">
        <f t="shared" si="3"/>
        <v>14</v>
      </c>
      <c r="D46" t="s">
        <v>45</v>
      </c>
      <c r="E46" s="2">
        <f t="shared" si="0"/>
        <v>43722</v>
      </c>
      <c r="F46" s="2" t="str">
        <f t="shared" si="1"/>
        <v xml:space="preserve"> 3pm</v>
      </c>
      <c r="G46" s="2" t="s">
        <v>376</v>
      </c>
      <c r="H46" t="str">
        <f t="shared" si="2"/>
        <v>Manchester United</v>
      </c>
      <c r="I46" t="str">
        <f t="shared" si="4"/>
        <v>Leicester City</v>
      </c>
    </row>
    <row r="47" spans="1:9" x14ac:dyDescent="0.25">
      <c r="A47">
        <v>2019</v>
      </c>
      <c r="B47">
        <v>9</v>
      </c>
      <c r="C47" t="str">
        <f t="shared" si="3"/>
        <v>14</v>
      </c>
      <c r="D47" t="s">
        <v>46</v>
      </c>
      <c r="E47" s="2">
        <f t="shared" si="0"/>
        <v>43722</v>
      </c>
      <c r="F47" s="2" t="str">
        <f t="shared" si="1"/>
        <v xml:space="preserve"> 3pm</v>
      </c>
      <c r="G47" s="2" t="s">
        <v>376</v>
      </c>
      <c r="H47" t="str">
        <f t="shared" si="2"/>
        <v>Norwich City</v>
      </c>
      <c r="I47" t="str">
        <f t="shared" si="4"/>
        <v>Manchester City</v>
      </c>
    </row>
    <row r="48" spans="1:9" x14ac:dyDescent="0.25">
      <c r="A48">
        <v>2019</v>
      </c>
      <c r="B48">
        <v>9</v>
      </c>
      <c r="C48" t="str">
        <f t="shared" si="3"/>
        <v>14</v>
      </c>
      <c r="D48" t="s">
        <v>47</v>
      </c>
      <c r="E48" s="2">
        <f t="shared" si="0"/>
        <v>43722</v>
      </c>
      <c r="F48" s="2" t="str">
        <f t="shared" si="1"/>
        <v xml:space="preserve"> 3pm</v>
      </c>
      <c r="G48" s="2" t="s">
        <v>376</v>
      </c>
      <c r="H48" t="str">
        <f t="shared" si="2"/>
        <v>Sheffield United</v>
      </c>
      <c r="I48" t="str">
        <f t="shared" si="4"/>
        <v>Southampton</v>
      </c>
    </row>
    <row r="49" spans="1:9" x14ac:dyDescent="0.25">
      <c r="A49">
        <v>2019</v>
      </c>
      <c r="B49">
        <v>9</v>
      </c>
      <c r="C49" t="str">
        <f t="shared" si="3"/>
        <v>14</v>
      </c>
      <c r="D49" t="s">
        <v>48</v>
      </c>
      <c r="E49" s="2">
        <f t="shared" si="0"/>
        <v>43722</v>
      </c>
      <c r="F49" s="2" t="str">
        <f t="shared" si="1"/>
        <v xml:space="preserve"> 3pm</v>
      </c>
      <c r="G49" s="2" t="s">
        <v>376</v>
      </c>
      <c r="H49" t="str">
        <f t="shared" si="2"/>
        <v>Tottenham Hotspur</v>
      </c>
      <c r="I49" t="str">
        <f t="shared" si="4"/>
        <v>Crystal Palace</v>
      </c>
    </row>
    <row r="50" spans="1:9" x14ac:dyDescent="0.25">
      <c r="A50">
        <v>2019</v>
      </c>
      <c r="B50">
        <v>9</v>
      </c>
      <c r="C50" t="str">
        <f t="shared" si="3"/>
        <v>14</v>
      </c>
      <c r="D50" t="s">
        <v>49</v>
      </c>
      <c r="E50" s="2">
        <f t="shared" si="0"/>
        <v>43722</v>
      </c>
      <c r="F50" s="2" t="str">
        <f t="shared" si="1"/>
        <v xml:space="preserve"> 3pm</v>
      </c>
      <c r="G50" s="2" t="s">
        <v>376</v>
      </c>
      <c r="H50" t="str">
        <f t="shared" si="2"/>
        <v>Watford</v>
      </c>
      <c r="I50" t="str">
        <f t="shared" si="4"/>
        <v>Arsenal</v>
      </c>
    </row>
    <row r="51" spans="1:9" x14ac:dyDescent="0.25">
      <c r="A51">
        <v>2019</v>
      </c>
      <c r="B51">
        <v>9</v>
      </c>
      <c r="C51" t="str">
        <f t="shared" si="3"/>
        <v>14</v>
      </c>
      <c r="D51" t="s">
        <v>50</v>
      </c>
      <c r="E51" s="2">
        <f t="shared" si="0"/>
        <v>43722</v>
      </c>
      <c r="F51" s="2" t="str">
        <f t="shared" si="1"/>
        <v xml:space="preserve"> 3pm</v>
      </c>
      <c r="G51" s="2" t="s">
        <v>376</v>
      </c>
      <c r="H51" t="str">
        <f t="shared" si="2"/>
        <v>Wolves</v>
      </c>
      <c r="I51" t="str">
        <f t="shared" si="4"/>
        <v>Chelsea</v>
      </c>
    </row>
    <row r="52" spans="1:9" x14ac:dyDescent="0.25">
      <c r="A52">
        <v>2019</v>
      </c>
      <c r="B52">
        <v>9</v>
      </c>
      <c r="C52" t="str">
        <f t="shared" si="3"/>
        <v>21</v>
      </c>
      <c r="D52" t="s">
        <v>51</v>
      </c>
      <c r="E52" s="2">
        <f t="shared" si="0"/>
        <v>43729</v>
      </c>
      <c r="F52" s="2" t="str">
        <f t="shared" si="1"/>
        <v xml:space="preserve"> 3pm</v>
      </c>
      <c r="G52" s="2" t="s">
        <v>376</v>
      </c>
      <c r="H52" t="str">
        <f t="shared" si="2"/>
        <v>Arsenal</v>
      </c>
      <c r="I52" t="str">
        <f t="shared" si="4"/>
        <v>Aston Villa</v>
      </c>
    </row>
    <row r="53" spans="1:9" x14ac:dyDescent="0.25">
      <c r="A53">
        <v>2019</v>
      </c>
      <c r="B53">
        <v>9</v>
      </c>
      <c r="C53" t="str">
        <f t="shared" si="3"/>
        <v>21</v>
      </c>
      <c r="D53" t="s">
        <v>52</v>
      </c>
      <c r="E53" s="2">
        <f t="shared" si="0"/>
        <v>43729</v>
      </c>
      <c r="F53" s="2" t="str">
        <f t="shared" si="1"/>
        <v xml:space="preserve"> 3pm</v>
      </c>
      <c r="G53" s="2" t="s">
        <v>376</v>
      </c>
      <c r="H53" t="str">
        <f t="shared" si="2"/>
        <v>Burnley</v>
      </c>
      <c r="I53" t="str">
        <f t="shared" si="4"/>
        <v>Norwich City</v>
      </c>
    </row>
    <row r="54" spans="1:9" x14ac:dyDescent="0.25">
      <c r="A54">
        <v>2019</v>
      </c>
      <c r="B54">
        <v>9</v>
      </c>
      <c r="C54" t="str">
        <f t="shared" si="3"/>
        <v>21</v>
      </c>
      <c r="D54" t="s">
        <v>53</v>
      </c>
      <c r="E54" s="2">
        <f t="shared" si="0"/>
        <v>43729</v>
      </c>
      <c r="F54" s="2" t="str">
        <f t="shared" si="1"/>
        <v xml:space="preserve"> 3pm</v>
      </c>
      <c r="G54" s="2" t="s">
        <v>376</v>
      </c>
      <c r="H54" t="str">
        <f t="shared" si="2"/>
        <v>Chelsea</v>
      </c>
      <c r="I54" t="str">
        <f t="shared" si="4"/>
        <v>Liverpool</v>
      </c>
    </row>
    <row r="55" spans="1:9" x14ac:dyDescent="0.25">
      <c r="A55">
        <v>2019</v>
      </c>
      <c r="B55">
        <v>9</v>
      </c>
      <c r="C55" t="str">
        <f t="shared" si="3"/>
        <v>21</v>
      </c>
      <c r="D55" t="s">
        <v>54</v>
      </c>
      <c r="E55" s="2">
        <f t="shared" si="0"/>
        <v>43729</v>
      </c>
      <c r="F55" s="2" t="str">
        <f t="shared" si="1"/>
        <v xml:space="preserve"> 3pm</v>
      </c>
      <c r="G55" s="2" t="s">
        <v>376</v>
      </c>
      <c r="H55" t="str">
        <f t="shared" si="2"/>
        <v>Crystal Palace</v>
      </c>
      <c r="I55" t="str">
        <f t="shared" si="4"/>
        <v>Wolves</v>
      </c>
    </row>
    <row r="56" spans="1:9" x14ac:dyDescent="0.25">
      <c r="A56">
        <v>2019</v>
      </c>
      <c r="B56">
        <v>9</v>
      </c>
      <c r="C56" t="str">
        <f t="shared" si="3"/>
        <v>21</v>
      </c>
      <c r="D56" t="s">
        <v>55</v>
      </c>
      <c r="E56" s="2">
        <f t="shared" si="0"/>
        <v>43729</v>
      </c>
      <c r="F56" s="2" t="str">
        <f t="shared" si="1"/>
        <v xml:space="preserve"> 3pm</v>
      </c>
      <c r="G56" s="2" t="s">
        <v>376</v>
      </c>
      <c r="H56" t="str">
        <f t="shared" si="2"/>
        <v>Everton</v>
      </c>
      <c r="I56" t="str">
        <f t="shared" si="4"/>
        <v>Sheffield United</v>
      </c>
    </row>
    <row r="57" spans="1:9" x14ac:dyDescent="0.25">
      <c r="A57">
        <v>2019</v>
      </c>
      <c r="B57">
        <v>9</v>
      </c>
      <c r="C57" t="str">
        <f t="shared" si="3"/>
        <v>21</v>
      </c>
      <c r="D57" t="s">
        <v>56</v>
      </c>
      <c r="E57" s="2">
        <f t="shared" si="0"/>
        <v>43729</v>
      </c>
      <c r="F57" s="2" t="str">
        <f t="shared" si="1"/>
        <v xml:space="preserve"> 3pm</v>
      </c>
      <c r="G57" s="2" t="s">
        <v>376</v>
      </c>
      <c r="H57" t="str">
        <f t="shared" si="2"/>
        <v>Leicester City</v>
      </c>
      <c r="I57" t="str">
        <f t="shared" si="4"/>
        <v>Tottenham Hotspur</v>
      </c>
    </row>
    <row r="58" spans="1:9" x14ac:dyDescent="0.25">
      <c r="A58">
        <v>2019</v>
      </c>
      <c r="B58">
        <v>9</v>
      </c>
      <c r="C58" t="str">
        <f t="shared" si="3"/>
        <v>21</v>
      </c>
      <c r="D58" t="s">
        <v>57</v>
      </c>
      <c r="E58" s="2">
        <f t="shared" si="0"/>
        <v>43729</v>
      </c>
      <c r="F58" s="2" t="str">
        <f t="shared" si="1"/>
        <v xml:space="preserve"> 3pm</v>
      </c>
      <c r="G58" s="2" t="s">
        <v>376</v>
      </c>
      <c r="H58" t="str">
        <f t="shared" si="2"/>
        <v>Manchester City</v>
      </c>
      <c r="I58" t="str">
        <f t="shared" si="4"/>
        <v>Watford</v>
      </c>
    </row>
    <row r="59" spans="1:9" x14ac:dyDescent="0.25">
      <c r="A59">
        <v>2019</v>
      </c>
      <c r="B59">
        <v>9</v>
      </c>
      <c r="C59" t="str">
        <f t="shared" si="3"/>
        <v>21</v>
      </c>
      <c r="D59" t="s">
        <v>58</v>
      </c>
      <c r="E59" s="2">
        <f t="shared" si="0"/>
        <v>43729</v>
      </c>
      <c r="F59" s="2" t="str">
        <f t="shared" si="1"/>
        <v xml:space="preserve"> 3pm</v>
      </c>
      <c r="G59" s="2" t="s">
        <v>376</v>
      </c>
      <c r="H59" t="str">
        <f t="shared" si="2"/>
        <v>Newcastle United</v>
      </c>
      <c r="I59" t="str">
        <f t="shared" si="4"/>
        <v>Brighton</v>
      </c>
    </row>
    <row r="60" spans="1:9" x14ac:dyDescent="0.25">
      <c r="A60">
        <v>2019</v>
      </c>
      <c r="B60">
        <v>9</v>
      </c>
      <c r="C60" t="str">
        <f t="shared" si="3"/>
        <v>21</v>
      </c>
      <c r="D60" t="s">
        <v>59</v>
      </c>
      <c r="E60" s="2">
        <f t="shared" si="0"/>
        <v>43729</v>
      </c>
      <c r="F60" s="2" t="str">
        <f t="shared" si="1"/>
        <v xml:space="preserve"> 3pm</v>
      </c>
      <c r="G60" s="2" t="s">
        <v>376</v>
      </c>
      <c r="H60" t="str">
        <f t="shared" si="2"/>
        <v>Southampton</v>
      </c>
      <c r="I60" t="str">
        <f t="shared" si="4"/>
        <v>Bournemouth</v>
      </c>
    </row>
    <row r="61" spans="1:9" x14ac:dyDescent="0.25">
      <c r="A61">
        <v>2019</v>
      </c>
      <c r="B61">
        <v>9</v>
      </c>
      <c r="C61" t="str">
        <f t="shared" si="3"/>
        <v>21</v>
      </c>
      <c r="D61" t="s">
        <v>60</v>
      </c>
      <c r="E61" s="2">
        <f t="shared" si="0"/>
        <v>43729</v>
      </c>
      <c r="F61" s="2" t="str">
        <f t="shared" si="1"/>
        <v xml:space="preserve"> 3pm</v>
      </c>
      <c r="G61" s="2" t="s">
        <v>376</v>
      </c>
      <c r="H61" t="str">
        <f t="shared" si="2"/>
        <v>West Ham United</v>
      </c>
      <c r="I61" t="str">
        <f t="shared" si="4"/>
        <v>Manchester United</v>
      </c>
    </row>
    <row r="62" spans="1:9" x14ac:dyDescent="0.25">
      <c r="A62">
        <v>2019</v>
      </c>
      <c r="B62">
        <v>9</v>
      </c>
      <c r="C62" t="str">
        <f t="shared" si="3"/>
        <v>28</v>
      </c>
      <c r="D62" t="s">
        <v>61</v>
      </c>
      <c r="E62" s="2">
        <f t="shared" si="0"/>
        <v>43736</v>
      </c>
      <c r="F62" s="2" t="str">
        <f t="shared" si="1"/>
        <v xml:space="preserve"> 3pm</v>
      </c>
      <c r="G62" s="2" t="s">
        <v>376</v>
      </c>
      <c r="H62" t="str">
        <f t="shared" si="2"/>
        <v>Bournemouth</v>
      </c>
      <c r="I62" t="str">
        <f t="shared" si="4"/>
        <v>West Ham</v>
      </c>
    </row>
    <row r="63" spans="1:9" x14ac:dyDescent="0.25">
      <c r="A63">
        <v>2019</v>
      </c>
      <c r="B63">
        <v>9</v>
      </c>
      <c r="C63" t="str">
        <f t="shared" si="3"/>
        <v>28</v>
      </c>
      <c r="D63" t="s">
        <v>62</v>
      </c>
      <c r="E63" s="2">
        <f t="shared" si="0"/>
        <v>43736</v>
      </c>
      <c r="F63" s="2" t="str">
        <f t="shared" si="1"/>
        <v xml:space="preserve"> 3pm</v>
      </c>
      <c r="G63" s="2" t="s">
        <v>376</v>
      </c>
      <c r="H63" t="str">
        <f t="shared" si="2"/>
        <v>Aston Villa</v>
      </c>
      <c r="I63" t="str">
        <f t="shared" si="4"/>
        <v>Burnley</v>
      </c>
    </row>
    <row r="64" spans="1:9" x14ac:dyDescent="0.25">
      <c r="A64">
        <v>2019</v>
      </c>
      <c r="B64">
        <v>9</v>
      </c>
      <c r="C64" t="str">
        <f t="shared" si="3"/>
        <v>28</v>
      </c>
      <c r="D64" t="s">
        <v>63</v>
      </c>
      <c r="E64" s="2">
        <f t="shared" si="0"/>
        <v>43736</v>
      </c>
      <c r="F64" s="2" t="str">
        <f t="shared" si="1"/>
        <v xml:space="preserve"> 3pm</v>
      </c>
      <c r="G64" s="2" t="s">
        <v>376</v>
      </c>
      <c r="H64" t="str">
        <f t="shared" si="2"/>
        <v>Chelsea</v>
      </c>
      <c r="I64" t="str">
        <f t="shared" si="4"/>
        <v>Brighton</v>
      </c>
    </row>
    <row r="65" spans="1:9" x14ac:dyDescent="0.25">
      <c r="A65">
        <v>2019</v>
      </c>
      <c r="B65">
        <v>9</v>
      </c>
      <c r="C65" t="str">
        <f t="shared" si="3"/>
        <v>28</v>
      </c>
      <c r="D65" t="s">
        <v>64</v>
      </c>
      <c r="E65" s="2">
        <f t="shared" si="0"/>
        <v>43736</v>
      </c>
      <c r="F65" s="2" t="str">
        <f t="shared" si="1"/>
        <v xml:space="preserve"> 3pm</v>
      </c>
      <c r="G65" s="2" t="s">
        <v>376</v>
      </c>
      <c r="H65" t="str">
        <f t="shared" si="2"/>
        <v>Crystal Palace</v>
      </c>
      <c r="I65" t="str">
        <f t="shared" si="4"/>
        <v>Norwich City</v>
      </c>
    </row>
    <row r="66" spans="1:9" x14ac:dyDescent="0.25">
      <c r="A66">
        <v>2019</v>
      </c>
      <c r="B66">
        <v>9</v>
      </c>
      <c r="C66" t="str">
        <f t="shared" si="3"/>
        <v>28</v>
      </c>
      <c r="D66" t="s">
        <v>65</v>
      </c>
      <c r="E66" s="2">
        <f t="shared" si="0"/>
        <v>43736</v>
      </c>
      <c r="F66" s="2" t="str">
        <f t="shared" si="1"/>
        <v xml:space="preserve"> 3pm</v>
      </c>
      <c r="G66" s="2" t="s">
        <v>376</v>
      </c>
      <c r="H66" t="str">
        <f t="shared" si="2"/>
        <v>Everton</v>
      </c>
      <c r="I66" t="str">
        <f t="shared" si="4"/>
        <v>Manchester City</v>
      </c>
    </row>
    <row r="67" spans="1:9" x14ac:dyDescent="0.25">
      <c r="A67">
        <v>2019</v>
      </c>
      <c r="B67">
        <v>9</v>
      </c>
      <c r="C67" t="str">
        <f t="shared" si="3"/>
        <v>28</v>
      </c>
      <c r="D67" t="s">
        <v>66</v>
      </c>
      <c r="E67" s="2">
        <f t="shared" ref="E67:E130" si="5">DATE(A67, B67, C67)</f>
        <v>43736</v>
      </c>
      <c r="F67" s="2" t="str">
        <f t="shared" ref="F67:F130" si="6">RIGHT(D67, (LEN(D67) - FIND(", ", D67)))</f>
        <v xml:space="preserve"> 3pm</v>
      </c>
      <c r="G67" s="2" t="s">
        <v>376</v>
      </c>
      <c r="H67" t="str">
        <f t="shared" ref="H67:H130" si="7">RIGHT(LEFT(D67,FIND(" vs ",D67,1)-1), (LEN(LEFT(D67,FIND(" vs ",D67,1)-1))-FIND(":",D67, 1) - 1))</f>
        <v>Leicester City</v>
      </c>
      <c r="I67" t="str">
        <f t="shared" si="4"/>
        <v>Newcastle United</v>
      </c>
    </row>
    <row r="68" spans="1:9" x14ac:dyDescent="0.25">
      <c r="A68">
        <v>2019</v>
      </c>
      <c r="B68">
        <v>9</v>
      </c>
      <c r="C68" t="str">
        <f t="shared" si="3"/>
        <v>28</v>
      </c>
      <c r="D68" t="s">
        <v>67</v>
      </c>
      <c r="E68" s="2">
        <f t="shared" si="5"/>
        <v>43736</v>
      </c>
      <c r="F68" s="2" t="str">
        <f t="shared" si="6"/>
        <v xml:space="preserve"> 3pm</v>
      </c>
      <c r="G68" s="2" t="s">
        <v>376</v>
      </c>
      <c r="H68" t="str">
        <f t="shared" si="7"/>
        <v>Manchester United</v>
      </c>
      <c r="I68" t="str">
        <f t="shared" si="4"/>
        <v>Arsenal</v>
      </c>
    </row>
    <row r="69" spans="1:9" x14ac:dyDescent="0.25">
      <c r="A69">
        <v>2019</v>
      </c>
      <c r="B69">
        <v>9</v>
      </c>
      <c r="C69" t="str">
        <f t="shared" ref="C69:C132" si="8">LEFT(D69,FIND(":",D69,1)-1)</f>
        <v>28</v>
      </c>
      <c r="D69" t="s">
        <v>68</v>
      </c>
      <c r="E69" s="2">
        <f t="shared" si="5"/>
        <v>43736</v>
      </c>
      <c r="F69" s="2" t="str">
        <f t="shared" si="6"/>
        <v xml:space="preserve"> 3pm</v>
      </c>
      <c r="G69" s="2" t="s">
        <v>376</v>
      </c>
      <c r="H69" t="str">
        <f t="shared" si="7"/>
        <v>Sheffield United</v>
      </c>
      <c r="I69" t="str">
        <f t="shared" ref="I69:I132" si="9">LEFT(RIGHT(D69,LEN(D69)-FIND("vs",D69)-2),FIND(", ",RIGHT(D69,LEN(D69)-FIND("vs",D69)-3)))</f>
        <v>Liverpool</v>
      </c>
    </row>
    <row r="70" spans="1:9" x14ac:dyDescent="0.25">
      <c r="A70">
        <v>2019</v>
      </c>
      <c r="B70">
        <v>9</v>
      </c>
      <c r="C70" t="str">
        <f t="shared" si="8"/>
        <v>28</v>
      </c>
      <c r="D70" t="s">
        <v>69</v>
      </c>
      <c r="E70" s="2">
        <f t="shared" si="5"/>
        <v>43736</v>
      </c>
      <c r="F70" s="2" t="str">
        <f t="shared" si="6"/>
        <v xml:space="preserve"> 3pm</v>
      </c>
      <c r="G70" s="2" t="s">
        <v>376</v>
      </c>
      <c r="H70" t="str">
        <f t="shared" si="7"/>
        <v>Tottenham Hotspur</v>
      </c>
      <c r="I70" t="str">
        <f t="shared" si="9"/>
        <v>Southampton</v>
      </c>
    </row>
    <row r="71" spans="1:9" x14ac:dyDescent="0.25">
      <c r="A71">
        <v>2019</v>
      </c>
      <c r="B71">
        <v>9</v>
      </c>
      <c r="C71" t="str">
        <f t="shared" si="8"/>
        <v>28</v>
      </c>
      <c r="D71" t="s">
        <v>70</v>
      </c>
      <c r="E71" s="2">
        <f t="shared" si="5"/>
        <v>43736</v>
      </c>
      <c r="F71" s="2" t="str">
        <f t="shared" si="6"/>
        <v xml:space="preserve"> 3pm</v>
      </c>
      <c r="G71" s="2" t="s">
        <v>376</v>
      </c>
      <c r="H71" t="str">
        <f t="shared" si="7"/>
        <v>Wolverhampton</v>
      </c>
      <c r="I71" t="str">
        <f t="shared" si="9"/>
        <v>Watford</v>
      </c>
    </row>
    <row r="72" spans="1:9" x14ac:dyDescent="0.25">
      <c r="A72">
        <v>2019</v>
      </c>
      <c r="B72">
        <v>10</v>
      </c>
      <c r="C72" t="str">
        <f t="shared" si="8"/>
        <v>5</v>
      </c>
      <c r="D72" t="s">
        <v>71</v>
      </c>
      <c r="E72" s="2">
        <f t="shared" si="5"/>
        <v>43743</v>
      </c>
      <c r="F72" s="2" t="str">
        <f t="shared" si="6"/>
        <v xml:space="preserve"> 3pm</v>
      </c>
      <c r="G72" s="2" t="s">
        <v>376</v>
      </c>
      <c r="H72" t="str">
        <f t="shared" si="7"/>
        <v>Arsenal</v>
      </c>
      <c r="I72" t="str">
        <f t="shared" si="9"/>
        <v>Bournemouth</v>
      </c>
    </row>
    <row r="73" spans="1:9" x14ac:dyDescent="0.25">
      <c r="A73">
        <v>2019</v>
      </c>
      <c r="B73">
        <v>10</v>
      </c>
      <c r="C73" t="str">
        <f t="shared" si="8"/>
        <v>5</v>
      </c>
      <c r="D73" t="s">
        <v>72</v>
      </c>
      <c r="E73" s="2">
        <f t="shared" si="5"/>
        <v>43743</v>
      </c>
      <c r="F73" s="2" t="str">
        <f t="shared" si="6"/>
        <v xml:space="preserve"> 3pm</v>
      </c>
      <c r="G73" s="2" t="s">
        <v>376</v>
      </c>
      <c r="H73" t="str">
        <f t="shared" si="7"/>
        <v>Brighton</v>
      </c>
      <c r="I73" t="str">
        <f t="shared" si="9"/>
        <v>Tottenham Hotspur</v>
      </c>
    </row>
    <row r="74" spans="1:9" x14ac:dyDescent="0.25">
      <c r="A74">
        <v>2019</v>
      </c>
      <c r="B74">
        <v>10</v>
      </c>
      <c r="C74" t="str">
        <f t="shared" si="8"/>
        <v>5</v>
      </c>
      <c r="D74" t="s">
        <v>73</v>
      </c>
      <c r="E74" s="2">
        <f t="shared" si="5"/>
        <v>43743</v>
      </c>
      <c r="F74" s="2" t="str">
        <f t="shared" si="6"/>
        <v xml:space="preserve"> 3pm</v>
      </c>
      <c r="G74" s="2" t="s">
        <v>376</v>
      </c>
      <c r="H74" t="str">
        <f t="shared" si="7"/>
        <v>Burnley</v>
      </c>
      <c r="I74" t="str">
        <f t="shared" si="9"/>
        <v>Everton</v>
      </c>
    </row>
    <row r="75" spans="1:9" x14ac:dyDescent="0.25">
      <c r="A75">
        <v>2019</v>
      </c>
      <c r="B75">
        <v>10</v>
      </c>
      <c r="C75" t="str">
        <f t="shared" si="8"/>
        <v>5</v>
      </c>
      <c r="D75" t="s">
        <v>74</v>
      </c>
      <c r="E75" s="2">
        <f t="shared" si="5"/>
        <v>43743</v>
      </c>
      <c r="F75" s="2" t="str">
        <f t="shared" si="6"/>
        <v xml:space="preserve"> 3pm</v>
      </c>
      <c r="G75" s="2" t="s">
        <v>376</v>
      </c>
      <c r="H75" t="str">
        <f t="shared" si="7"/>
        <v>Liverpool</v>
      </c>
      <c r="I75" t="str">
        <f t="shared" si="9"/>
        <v>Leicester City</v>
      </c>
    </row>
    <row r="76" spans="1:9" x14ac:dyDescent="0.25">
      <c r="A76">
        <v>2019</v>
      </c>
      <c r="B76">
        <v>10</v>
      </c>
      <c r="C76" t="str">
        <f t="shared" si="8"/>
        <v>5</v>
      </c>
      <c r="D76" t="s">
        <v>75</v>
      </c>
      <c r="E76" s="2">
        <f t="shared" si="5"/>
        <v>43743</v>
      </c>
      <c r="F76" s="2" t="str">
        <f t="shared" si="6"/>
        <v xml:space="preserve"> 3pm</v>
      </c>
      <c r="G76" s="2" t="s">
        <v>376</v>
      </c>
      <c r="H76" t="str">
        <f t="shared" si="7"/>
        <v>Manchester City</v>
      </c>
      <c r="I76" t="str">
        <f t="shared" si="9"/>
        <v>Wolves</v>
      </c>
    </row>
    <row r="77" spans="1:9" x14ac:dyDescent="0.25">
      <c r="A77">
        <v>2019</v>
      </c>
      <c r="B77">
        <v>10</v>
      </c>
      <c r="C77" t="str">
        <f t="shared" si="8"/>
        <v>5</v>
      </c>
      <c r="D77" t="s">
        <v>76</v>
      </c>
      <c r="E77" s="2">
        <f t="shared" si="5"/>
        <v>43743</v>
      </c>
      <c r="F77" s="2" t="str">
        <f t="shared" si="6"/>
        <v xml:space="preserve"> 3pm</v>
      </c>
      <c r="G77" s="2" t="s">
        <v>376</v>
      </c>
      <c r="H77" t="str">
        <f t="shared" si="7"/>
        <v>Newcastle United</v>
      </c>
      <c r="I77" t="str">
        <f t="shared" si="9"/>
        <v>Manchester United</v>
      </c>
    </row>
    <row r="78" spans="1:9" x14ac:dyDescent="0.25">
      <c r="A78">
        <v>2019</v>
      </c>
      <c r="B78">
        <v>10</v>
      </c>
      <c r="C78" t="str">
        <f t="shared" si="8"/>
        <v>5</v>
      </c>
      <c r="D78" t="s">
        <v>77</v>
      </c>
      <c r="E78" s="2">
        <f t="shared" si="5"/>
        <v>43743</v>
      </c>
      <c r="F78" s="2" t="str">
        <f t="shared" si="6"/>
        <v xml:space="preserve"> 3pm</v>
      </c>
      <c r="G78" s="2" t="s">
        <v>376</v>
      </c>
      <c r="H78" t="str">
        <f t="shared" si="7"/>
        <v>Norwich City</v>
      </c>
      <c r="I78" t="str">
        <f t="shared" si="9"/>
        <v>Aston Villa</v>
      </c>
    </row>
    <row r="79" spans="1:9" x14ac:dyDescent="0.25">
      <c r="A79">
        <v>2019</v>
      </c>
      <c r="B79">
        <v>10</v>
      </c>
      <c r="C79" t="str">
        <f t="shared" si="8"/>
        <v>5</v>
      </c>
      <c r="D79" t="s">
        <v>78</v>
      </c>
      <c r="E79" s="2">
        <f t="shared" si="5"/>
        <v>43743</v>
      </c>
      <c r="F79" s="2" t="str">
        <f t="shared" si="6"/>
        <v xml:space="preserve"> 3pm</v>
      </c>
      <c r="G79" s="2" t="s">
        <v>376</v>
      </c>
      <c r="H79" t="str">
        <f t="shared" si="7"/>
        <v>Southampton</v>
      </c>
      <c r="I79" t="str">
        <f t="shared" si="9"/>
        <v>Chelsea</v>
      </c>
    </row>
    <row r="80" spans="1:9" x14ac:dyDescent="0.25">
      <c r="A80">
        <v>2019</v>
      </c>
      <c r="B80">
        <v>10</v>
      </c>
      <c r="C80" t="str">
        <f t="shared" si="8"/>
        <v>5</v>
      </c>
      <c r="D80" t="s">
        <v>79</v>
      </c>
      <c r="E80" s="2">
        <f t="shared" si="5"/>
        <v>43743</v>
      </c>
      <c r="F80" s="2" t="str">
        <f t="shared" si="6"/>
        <v xml:space="preserve"> 3pm</v>
      </c>
      <c r="G80" s="2" t="s">
        <v>376</v>
      </c>
      <c r="H80" t="str">
        <f t="shared" si="7"/>
        <v>Watford</v>
      </c>
      <c r="I80" t="str">
        <f t="shared" si="9"/>
        <v>Sheffield United</v>
      </c>
    </row>
    <row r="81" spans="1:9" x14ac:dyDescent="0.25">
      <c r="A81">
        <v>2019</v>
      </c>
      <c r="B81">
        <v>10</v>
      </c>
      <c r="C81" t="str">
        <f t="shared" si="8"/>
        <v>5</v>
      </c>
      <c r="D81" t="s">
        <v>80</v>
      </c>
      <c r="E81" s="2">
        <f t="shared" si="5"/>
        <v>43743</v>
      </c>
      <c r="F81" s="2" t="str">
        <f t="shared" si="6"/>
        <v xml:space="preserve"> 3pm</v>
      </c>
      <c r="G81" s="2" t="s">
        <v>376</v>
      </c>
      <c r="H81" t="str">
        <f t="shared" si="7"/>
        <v>West Ham United</v>
      </c>
      <c r="I81" t="str">
        <f t="shared" si="9"/>
        <v>Crystal Palace</v>
      </c>
    </row>
    <row r="82" spans="1:9" x14ac:dyDescent="0.25">
      <c r="A82">
        <v>2019</v>
      </c>
      <c r="B82">
        <v>10</v>
      </c>
      <c r="C82" t="str">
        <f t="shared" si="8"/>
        <v>19</v>
      </c>
      <c r="D82" t="s">
        <v>81</v>
      </c>
      <c r="E82" s="2">
        <f t="shared" si="5"/>
        <v>43757</v>
      </c>
      <c r="F82" s="2" t="str">
        <f t="shared" si="6"/>
        <v xml:space="preserve"> 3pm</v>
      </c>
      <c r="G82" s="2" t="s">
        <v>376</v>
      </c>
      <c r="H82" t="str">
        <f t="shared" si="7"/>
        <v>Bournemouth</v>
      </c>
      <c r="I82" t="str">
        <f t="shared" si="9"/>
        <v>Norwich City</v>
      </c>
    </row>
    <row r="83" spans="1:9" x14ac:dyDescent="0.25">
      <c r="A83">
        <v>2019</v>
      </c>
      <c r="B83">
        <v>10</v>
      </c>
      <c r="C83" t="str">
        <f t="shared" si="8"/>
        <v>19</v>
      </c>
      <c r="D83" t="s">
        <v>82</v>
      </c>
      <c r="E83" s="2">
        <f t="shared" si="5"/>
        <v>43757</v>
      </c>
      <c r="F83" s="2" t="str">
        <f t="shared" si="6"/>
        <v xml:space="preserve"> 3pm</v>
      </c>
      <c r="G83" s="2" t="s">
        <v>376</v>
      </c>
      <c r="H83" t="str">
        <f t="shared" si="7"/>
        <v>Aston Villa</v>
      </c>
      <c r="I83" t="str">
        <f t="shared" si="9"/>
        <v>Brighton</v>
      </c>
    </row>
    <row r="84" spans="1:9" x14ac:dyDescent="0.25">
      <c r="A84">
        <v>2019</v>
      </c>
      <c r="B84">
        <v>10</v>
      </c>
      <c r="C84" t="str">
        <f t="shared" si="8"/>
        <v>19</v>
      </c>
      <c r="D84" t="s">
        <v>83</v>
      </c>
      <c r="E84" s="2">
        <f t="shared" si="5"/>
        <v>43757</v>
      </c>
      <c r="F84" s="2" t="str">
        <f t="shared" si="6"/>
        <v xml:space="preserve"> 3pm</v>
      </c>
      <c r="G84" s="2" t="s">
        <v>376</v>
      </c>
      <c r="H84" t="str">
        <f t="shared" si="7"/>
        <v>Chelsea</v>
      </c>
      <c r="I84" t="str">
        <f t="shared" si="9"/>
        <v>Newcastle United</v>
      </c>
    </row>
    <row r="85" spans="1:9" x14ac:dyDescent="0.25">
      <c r="A85">
        <v>2019</v>
      </c>
      <c r="B85">
        <v>10</v>
      </c>
      <c r="C85" t="str">
        <f t="shared" si="8"/>
        <v>19</v>
      </c>
      <c r="D85" t="s">
        <v>84</v>
      </c>
      <c r="E85" s="2">
        <f t="shared" si="5"/>
        <v>43757</v>
      </c>
      <c r="F85" s="2" t="str">
        <f t="shared" si="6"/>
        <v xml:space="preserve"> 3pm</v>
      </c>
      <c r="G85" s="2" t="s">
        <v>376</v>
      </c>
      <c r="H85" t="str">
        <f t="shared" si="7"/>
        <v>Crystal Palace</v>
      </c>
      <c r="I85" t="str">
        <f t="shared" si="9"/>
        <v>Manchester City</v>
      </c>
    </row>
    <row r="86" spans="1:9" x14ac:dyDescent="0.25">
      <c r="A86">
        <v>2019</v>
      </c>
      <c r="B86">
        <v>10</v>
      </c>
      <c r="C86" t="str">
        <f t="shared" si="8"/>
        <v>19</v>
      </c>
      <c r="D86" t="s">
        <v>85</v>
      </c>
      <c r="E86" s="2">
        <f t="shared" si="5"/>
        <v>43757</v>
      </c>
      <c r="F86" s="2" t="str">
        <f t="shared" si="6"/>
        <v xml:space="preserve"> 3pm</v>
      </c>
      <c r="G86" s="2" t="s">
        <v>376</v>
      </c>
      <c r="H86" t="str">
        <f t="shared" si="7"/>
        <v>Everton</v>
      </c>
      <c r="I86" t="str">
        <f t="shared" si="9"/>
        <v>West Ham United</v>
      </c>
    </row>
    <row r="87" spans="1:9" x14ac:dyDescent="0.25">
      <c r="A87">
        <v>2019</v>
      </c>
      <c r="B87">
        <v>10</v>
      </c>
      <c r="C87" t="str">
        <f t="shared" si="8"/>
        <v>19</v>
      </c>
      <c r="D87" t="s">
        <v>86</v>
      </c>
      <c r="E87" s="2">
        <f t="shared" si="5"/>
        <v>43757</v>
      </c>
      <c r="F87" s="2" t="str">
        <f t="shared" si="6"/>
        <v xml:space="preserve"> 3pm</v>
      </c>
      <c r="G87" s="2" t="s">
        <v>376</v>
      </c>
      <c r="H87" t="str">
        <f t="shared" si="7"/>
        <v>Leicester City</v>
      </c>
      <c r="I87" t="str">
        <f t="shared" si="9"/>
        <v>Burnley</v>
      </c>
    </row>
    <row r="88" spans="1:9" x14ac:dyDescent="0.25">
      <c r="A88">
        <v>2019</v>
      </c>
      <c r="B88">
        <v>10</v>
      </c>
      <c r="C88" t="str">
        <f t="shared" si="8"/>
        <v>19</v>
      </c>
      <c r="D88" t="s">
        <v>87</v>
      </c>
      <c r="E88" s="2">
        <f t="shared" si="5"/>
        <v>43757</v>
      </c>
      <c r="F88" s="2" t="str">
        <f t="shared" si="6"/>
        <v xml:space="preserve"> 3pm</v>
      </c>
      <c r="G88" s="2" t="s">
        <v>376</v>
      </c>
      <c r="H88" t="str">
        <f t="shared" si="7"/>
        <v>Manchester United</v>
      </c>
      <c r="I88" t="str">
        <f t="shared" si="9"/>
        <v>Liverpool</v>
      </c>
    </row>
    <row r="89" spans="1:9" x14ac:dyDescent="0.25">
      <c r="A89">
        <v>2019</v>
      </c>
      <c r="B89">
        <v>10</v>
      </c>
      <c r="C89" t="str">
        <f t="shared" si="8"/>
        <v>19</v>
      </c>
      <c r="D89" t="s">
        <v>88</v>
      </c>
      <c r="E89" s="2">
        <f t="shared" si="5"/>
        <v>43757</v>
      </c>
      <c r="F89" s="2" t="str">
        <f t="shared" si="6"/>
        <v xml:space="preserve"> 3pm</v>
      </c>
      <c r="G89" s="2" t="s">
        <v>376</v>
      </c>
      <c r="H89" t="str">
        <f t="shared" si="7"/>
        <v>Sheffield United</v>
      </c>
      <c r="I89" t="str">
        <f t="shared" si="9"/>
        <v>Arsenal</v>
      </c>
    </row>
    <row r="90" spans="1:9" x14ac:dyDescent="0.25">
      <c r="A90">
        <v>2019</v>
      </c>
      <c r="B90">
        <v>10</v>
      </c>
      <c r="C90" t="str">
        <f t="shared" si="8"/>
        <v>19</v>
      </c>
      <c r="D90" t="s">
        <v>89</v>
      </c>
      <c r="E90" s="2">
        <f t="shared" si="5"/>
        <v>43757</v>
      </c>
      <c r="F90" s="2" t="str">
        <f t="shared" si="6"/>
        <v xml:space="preserve"> 3pm</v>
      </c>
      <c r="G90" s="2" t="s">
        <v>376</v>
      </c>
      <c r="H90" t="str">
        <f t="shared" si="7"/>
        <v>Tottenham Hotspur</v>
      </c>
      <c r="I90" t="str">
        <f t="shared" si="9"/>
        <v>Watford</v>
      </c>
    </row>
    <row r="91" spans="1:9" x14ac:dyDescent="0.25">
      <c r="A91">
        <v>2019</v>
      </c>
      <c r="B91">
        <v>10</v>
      </c>
      <c r="C91" t="str">
        <f t="shared" si="8"/>
        <v>19</v>
      </c>
      <c r="D91" t="s">
        <v>90</v>
      </c>
      <c r="E91" s="2">
        <f t="shared" si="5"/>
        <v>43757</v>
      </c>
      <c r="F91" s="2" t="str">
        <f t="shared" si="6"/>
        <v xml:space="preserve"> 3pm</v>
      </c>
      <c r="G91" s="2" t="s">
        <v>376</v>
      </c>
      <c r="H91" t="str">
        <f t="shared" si="7"/>
        <v>Wolves</v>
      </c>
      <c r="I91" t="str">
        <f t="shared" si="9"/>
        <v>Southampton</v>
      </c>
    </row>
    <row r="92" spans="1:9" x14ac:dyDescent="0.25">
      <c r="A92">
        <v>2019</v>
      </c>
      <c r="B92">
        <v>10</v>
      </c>
      <c r="C92" t="str">
        <f t="shared" si="8"/>
        <v>26</v>
      </c>
      <c r="D92" t="s">
        <v>91</v>
      </c>
      <c r="E92" s="2">
        <f t="shared" si="5"/>
        <v>43764</v>
      </c>
      <c r="F92" s="2" t="str">
        <f t="shared" si="6"/>
        <v xml:space="preserve"> 3pm</v>
      </c>
      <c r="G92" s="2" t="s">
        <v>376</v>
      </c>
      <c r="H92" t="str">
        <f t="shared" si="7"/>
        <v>Arsenal</v>
      </c>
      <c r="I92" t="str">
        <f t="shared" si="9"/>
        <v>Crystal Palace</v>
      </c>
    </row>
    <row r="93" spans="1:9" x14ac:dyDescent="0.25">
      <c r="A93">
        <v>2019</v>
      </c>
      <c r="B93">
        <v>10</v>
      </c>
      <c r="C93" t="str">
        <f t="shared" si="8"/>
        <v>26</v>
      </c>
      <c r="D93" t="s">
        <v>92</v>
      </c>
      <c r="E93" s="2">
        <f t="shared" si="5"/>
        <v>43764</v>
      </c>
      <c r="F93" s="2" t="str">
        <f t="shared" si="6"/>
        <v xml:space="preserve"> 3pm</v>
      </c>
      <c r="G93" s="2" t="s">
        <v>376</v>
      </c>
      <c r="H93" t="str">
        <f t="shared" si="7"/>
        <v>Brighton</v>
      </c>
      <c r="I93" t="str">
        <f t="shared" si="9"/>
        <v>Everton</v>
      </c>
    </row>
    <row r="94" spans="1:9" x14ac:dyDescent="0.25">
      <c r="A94">
        <v>2019</v>
      </c>
      <c r="B94">
        <v>10</v>
      </c>
      <c r="C94" t="str">
        <f t="shared" si="8"/>
        <v>26</v>
      </c>
      <c r="D94" t="s">
        <v>93</v>
      </c>
      <c r="E94" s="2">
        <f t="shared" si="5"/>
        <v>43764</v>
      </c>
      <c r="F94" s="2" t="str">
        <f t="shared" si="6"/>
        <v xml:space="preserve"> 3pm</v>
      </c>
      <c r="G94" s="2" t="s">
        <v>376</v>
      </c>
      <c r="H94" t="str">
        <f t="shared" si="7"/>
        <v>Burnley</v>
      </c>
      <c r="I94" t="str">
        <f t="shared" si="9"/>
        <v>Chelsea</v>
      </c>
    </row>
    <row r="95" spans="1:9" x14ac:dyDescent="0.25">
      <c r="A95">
        <v>2019</v>
      </c>
      <c r="B95">
        <v>10</v>
      </c>
      <c r="C95" t="str">
        <f t="shared" si="8"/>
        <v>26</v>
      </c>
      <c r="D95" t="s">
        <v>94</v>
      </c>
      <c r="E95" s="2">
        <f t="shared" si="5"/>
        <v>43764</v>
      </c>
      <c r="F95" s="2" t="str">
        <f t="shared" si="6"/>
        <v xml:space="preserve"> 3pm</v>
      </c>
      <c r="G95" s="2" t="s">
        <v>376</v>
      </c>
      <c r="H95" t="str">
        <f t="shared" si="7"/>
        <v>Liverpool</v>
      </c>
      <c r="I95" t="str">
        <f t="shared" si="9"/>
        <v>Tottenham Hotspur</v>
      </c>
    </row>
    <row r="96" spans="1:9" x14ac:dyDescent="0.25">
      <c r="A96">
        <v>2019</v>
      </c>
      <c r="B96">
        <v>10</v>
      </c>
      <c r="C96" t="str">
        <f t="shared" si="8"/>
        <v>26</v>
      </c>
      <c r="D96" t="s">
        <v>95</v>
      </c>
      <c r="E96" s="2">
        <f t="shared" si="5"/>
        <v>43764</v>
      </c>
      <c r="F96" s="2" t="str">
        <f t="shared" si="6"/>
        <v xml:space="preserve"> 3pm</v>
      </c>
      <c r="G96" s="2" t="s">
        <v>376</v>
      </c>
      <c r="H96" t="str">
        <f t="shared" si="7"/>
        <v>Manchester City</v>
      </c>
      <c r="I96" t="str">
        <f t="shared" si="9"/>
        <v>Aston Villa</v>
      </c>
    </row>
    <row r="97" spans="1:9" x14ac:dyDescent="0.25">
      <c r="A97">
        <v>2019</v>
      </c>
      <c r="B97">
        <v>10</v>
      </c>
      <c r="C97" t="str">
        <f t="shared" si="8"/>
        <v>26</v>
      </c>
      <c r="D97" t="s">
        <v>96</v>
      </c>
      <c r="E97" s="2">
        <f t="shared" si="5"/>
        <v>43764</v>
      </c>
      <c r="F97" s="2" t="str">
        <f t="shared" si="6"/>
        <v xml:space="preserve"> 3pm</v>
      </c>
      <c r="G97" s="2" t="s">
        <v>376</v>
      </c>
      <c r="H97" t="str">
        <f t="shared" si="7"/>
        <v>Newcastle United</v>
      </c>
      <c r="I97" t="str">
        <f t="shared" si="9"/>
        <v>Wolves</v>
      </c>
    </row>
    <row r="98" spans="1:9" x14ac:dyDescent="0.25">
      <c r="A98">
        <v>2019</v>
      </c>
      <c r="B98">
        <v>10</v>
      </c>
      <c r="C98" t="str">
        <f t="shared" si="8"/>
        <v>26</v>
      </c>
      <c r="D98" t="s">
        <v>97</v>
      </c>
      <c r="E98" s="2">
        <f t="shared" si="5"/>
        <v>43764</v>
      </c>
      <c r="F98" s="2" t="str">
        <f t="shared" si="6"/>
        <v xml:space="preserve"> 3pm</v>
      </c>
      <c r="G98" s="2" t="s">
        <v>376</v>
      </c>
      <c r="H98" t="str">
        <f t="shared" si="7"/>
        <v>Norwich City</v>
      </c>
      <c r="I98" t="str">
        <f t="shared" si="9"/>
        <v>Manchester United</v>
      </c>
    </row>
    <row r="99" spans="1:9" x14ac:dyDescent="0.25">
      <c r="A99">
        <v>2019</v>
      </c>
      <c r="B99">
        <v>10</v>
      </c>
      <c r="C99" t="str">
        <f t="shared" si="8"/>
        <v>26</v>
      </c>
      <c r="D99" t="s">
        <v>98</v>
      </c>
      <c r="E99" s="2">
        <f t="shared" si="5"/>
        <v>43764</v>
      </c>
      <c r="F99" s="2" t="str">
        <f t="shared" si="6"/>
        <v xml:space="preserve"> 3pm</v>
      </c>
      <c r="G99" s="2" t="s">
        <v>376</v>
      </c>
      <c r="H99" t="str">
        <f t="shared" si="7"/>
        <v>Southampton</v>
      </c>
      <c r="I99" t="str">
        <f t="shared" si="9"/>
        <v>Leicester City</v>
      </c>
    </row>
    <row r="100" spans="1:9" x14ac:dyDescent="0.25">
      <c r="A100">
        <v>2019</v>
      </c>
      <c r="B100">
        <v>10</v>
      </c>
      <c r="C100" t="str">
        <f t="shared" si="8"/>
        <v>26</v>
      </c>
      <c r="D100" t="s">
        <v>99</v>
      </c>
      <c r="E100" s="2">
        <f t="shared" si="5"/>
        <v>43764</v>
      </c>
      <c r="F100" s="2" t="str">
        <f t="shared" si="6"/>
        <v xml:space="preserve"> 3pm</v>
      </c>
      <c r="G100" s="2" t="s">
        <v>376</v>
      </c>
      <c r="H100" t="str">
        <f t="shared" si="7"/>
        <v>Watford</v>
      </c>
      <c r="I100" t="str">
        <f t="shared" si="9"/>
        <v>Bournemouth</v>
      </c>
    </row>
    <row r="101" spans="1:9" x14ac:dyDescent="0.25">
      <c r="A101">
        <v>2019</v>
      </c>
      <c r="B101">
        <v>10</v>
      </c>
      <c r="C101" t="str">
        <f t="shared" si="8"/>
        <v>26</v>
      </c>
      <c r="D101" t="s">
        <v>100</v>
      </c>
      <c r="E101" s="2">
        <f t="shared" si="5"/>
        <v>43764</v>
      </c>
      <c r="F101" s="2" t="str">
        <f t="shared" si="6"/>
        <v xml:space="preserve"> 3pm</v>
      </c>
      <c r="G101" s="2" t="s">
        <v>376</v>
      </c>
      <c r="H101" t="str">
        <f t="shared" si="7"/>
        <v>West Ham United</v>
      </c>
      <c r="I101" t="str">
        <f t="shared" si="9"/>
        <v>Sheffield United</v>
      </c>
    </row>
    <row r="102" spans="1:9" x14ac:dyDescent="0.25">
      <c r="A102">
        <v>2019</v>
      </c>
      <c r="B102">
        <v>11</v>
      </c>
      <c r="C102" t="str">
        <f t="shared" si="8"/>
        <v>2</v>
      </c>
      <c r="D102" t="s">
        <v>101</v>
      </c>
      <c r="E102" s="2">
        <f t="shared" si="5"/>
        <v>43771</v>
      </c>
      <c r="F102" s="2" t="str">
        <f t="shared" si="6"/>
        <v xml:space="preserve"> 3pm</v>
      </c>
      <c r="G102" s="2" t="s">
        <v>376</v>
      </c>
      <c r="H102" t="str">
        <f t="shared" si="7"/>
        <v>Bournemouth</v>
      </c>
      <c r="I102" t="str">
        <f t="shared" si="9"/>
        <v>Manchester United</v>
      </c>
    </row>
    <row r="103" spans="1:9" x14ac:dyDescent="0.25">
      <c r="A103">
        <v>2019</v>
      </c>
      <c r="B103">
        <v>11</v>
      </c>
      <c r="C103" t="str">
        <f t="shared" si="8"/>
        <v>2</v>
      </c>
      <c r="D103" t="s">
        <v>102</v>
      </c>
      <c r="E103" s="2">
        <f t="shared" si="5"/>
        <v>43771</v>
      </c>
      <c r="F103" s="2" t="str">
        <f t="shared" si="6"/>
        <v xml:space="preserve"> 3pm</v>
      </c>
      <c r="G103" s="2" t="s">
        <v>376</v>
      </c>
      <c r="H103" t="str">
        <f t="shared" si="7"/>
        <v>Arsenal</v>
      </c>
      <c r="I103" t="str">
        <f t="shared" si="9"/>
        <v>Wolves</v>
      </c>
    </row>
    <row r="104" spans="1:9" x14ac:dyDescent="0.25">
      <c r="A104">
        <v>2019</v>
      </c>
      <c r="B104">
        <v>11</v>
      </c>
      <c r="C104" t="str">
        <f t="shared" si="8"/>
        <v>2</v>
      </c>
      <c r="D104" t="s">
        <v>103</v>
      </c>
      <c r="E104" s="2">
        <f t="shared" si="5"/>
        <v>43771</v>
      </c>
      <c r="F104" s="2" t="str">
        <f t="shared" si="6"/>
        <v xml:space="preserve"> 3pm</v>
      </c>
      <c r="G104" s="2" t="s">
        <v>376</v>
      </c>
      <c r="H104" t="str">
        <f t="shared" si="7"/>
        <v>Aston Villa</v>
      </c>
      <c r="I104" t="str">
        <f t="shared" si="9"/>
        <v>Liverpool</v>
      </c>
    </row>
    <row r="105" spans="1:9" x14ac:dyDescent="0.25">
      <c r="A105">
        <v>2019</v>
      </c>
      <c r="B105">
        <v>11</v>
      </c>
      <c r="C105" t="str">
        <f t="shared" si="8"/>
        <v>2</v>
      </c>
      <c r="D105" t="s">
        <v>104</v>
      </c>
      <c r="E105" s="2">
        <f t="shared" si="5"/>
        <v>43771</v>
      </c>
      <c r="F105" s="2" t="str">
        <f t="shared" si="6"/>
        <v xml:space="preserve"> 3pm</v>
      </c>
      <c r="G105" s="2" t="s">
        <v>376</v>
      </c>
      <c r="H105" t="str">
        <f t="shared" si="7"/>
        <v>Brighton</v>
      </c>
      <c r="I105" t="str">
        <f t="shared" si="9"/>
        <v>Norwich City</v>
      </c>
    </row>
    <row r="106" spans="1:9" x14ac:dyDescent="0.25">
      <c r="A106">
        <v>2019</v>
      </c>
      <c r="B106">
        <v>11</v>
      </c>
      <c r="C106" t="str">
        <f t="shared" si="8"/>
        <v>2</v>
      </c>
      <c r="D106" t="s">
        <v>105</v>
      </c>
      <c r="E106" s="2">
        <f t="shared" si="5"/>
        <v>43771</v>
      </c>
      <c r="F106" s="2" t="str">
        <f t="shared" si="6"/>
        <v xml:space="preserve"> 3pm</v>
      </c>
      <c r="G106" s="2" t="s">
        <v>376</v>
      </c>
      <c r="H106" t="str">
        <f t="shared" si="7"/>
        <v>Crystal Palace</v>
      </c>
      <c r="I106" t="str">
        <f t="shared" si="9"/>
        <v>Leicester City</v>
      </c>
    </row>
    <row r="107" spans="1:9" x14ac:dyDescent="0.25">
      <c r="A107">
        <v>2019</v>
      </c>
      <c r="B107">
        <v>11</v>
      </c>
      <c r="C107" t="str">
        <f t="shared" si="8"/>
        <v>2</v>
      </c>
      <c r="D107" t="s">
        <v>106</v>
      </c>
      <c r="E107" s="2">
        <f t="shared" si="5"/>
        <v>43771</v>
      </c>
      <c r="F107" s="2" t="str">
        <f t="shared" si="6"/>
        <v xml:space="preserve"> 3pm</v>
      </c>
      <c r="G107" s="2" t="s">
        <v>376</v>
      </c>
      <c r="H107" t="str">
        <f t="shared" si="7"/>
        <v>Everton</v>
      </c>
      <c r="I107" t="str">
        <f t="shared" si="9"/>
        <v>Tottenham Hotspur</v>
      </c>
    </row>
    <row r="108" spans="1:9" x14ac:dyDescent="0.25">
      <c r="A108">
        <v>2019</v>
      </c>
      <c r="B108">
        <v>11</v>
      </c>
      <c r="C108" t="str">
        <f t="shared" si="8"/>
        <v>2</v>
      </c>
      <c r="D108" t="s">
        <v>107</v>
      </c>
      <c r="E108" s="2">
        <f t="shared" si="5"/>
        <v>43771</v>
      </c>
      <c r="F108" s="2" t="str">
        <f t="shared" si="6"/>
        <v xml:space="preserve"> 3pm</v>
      </c>
      <c r="G108" s="2" t="s">
        <v>376</v>
      </c>
      <c r="H108" t="str">
        <f t="shared" si="7"/>
        <v>Manchester City</v>
      </c>
      <c r="I108" t="str">
        <f t="shared" si="9"/>
        <v>Southampton</v>
      </c>
    </row>
    <row r="109" spans="1:9" x14ac:dyDescent="0.25">
      <c r="A109">
        <v>2019</v>
      </c>
      <c r="B109">
        <v>11</v>
      </c>
      <c r="C109" t="str">
        <f t="shared" si="8"/>
        <v>2</v>
      </c>
      <c r="D109" t="s">
        <v>108</v>
      </c>
      <c r="E109" s="2">
        <f t="shared" si="5"/>
        <v>43771</v>
      </c>
      <c r="F109" s="2" t="str">
        <f t="shared" si="6"/>
        <v xml:space="preserve"> 3pm</v>
      </c>
      <c r="G109" s="2" t="s">
        <v>376</v>
      </c>
      <c r="H109" t="str">
        <f t="shared" si="7"/>
        <v>Sheffield United</v>
      </c>
      <c r="I109" t="str">
        <f t="shared" si="9"/>
        <v>Burnley</v>
      </c>
    </row>
    <row r="110" spans="1:9" x14ac:dyDescent="0.25">
      <c r="A110">
        <v>2019</v>
      </c>
      <c r="B110">
        <v>11</v>
      </c>
      <c r="C110" t="str">
        <f t="shared" si="8"/>
        <v>2</v>
      </c>
      <c r="D110" t="s">
        <v>109</v>
      </c>
      <c r="E110" s="2">
        <f t="shared" si="5"/>
        <v>43771</v>
      </c>
      <c r="F110" s="2" t="str">
        <f t="shared" si="6"/>
        <v xml:space="preserve"> 3pm</v>
      </c>
      <c r="G110" s="2" t="s">
        <v>376</v>
      </c>
      <c r="H110" t="str">
        <f t="shared" si="7"/>
        <v>Watford</v>
      </c>
      <c r="I110" t="str">
        <f t="shared" si="9"/>
        <v>Chelsea</v>
      </c>
    </row>
    <row r="111" spans="1:9" x14ac:dyDescent="0.25">
      <c r="A111">
        <v>2019</v>
      </c>
      <c r="B111">
        <v>11</v>
      </c>
      <c r="C111" t="str">
        <f t="shared" si="8"/>
        <v>2</v>
      </c>
      <c r="D111" t="s">
        <v>110</v>
      </c>
      <c r="E111" s="2">
        <f t="shared" si="5"/>
        <v>43771</v>
      </c>
      <c r="F111" s="2" t="str">
        <f t="shared" si="6"/>
        <v xml:space="preserve"> 3pm</v>
      </c>
      <c r="G111" s="2" t="s">
        <v>376</v>
      </c>
      <c r="H111" t="str">
        <f t="shared" si="7"/>
        <v>West Ham United</v>
      </c>
      <c r="I111" t="str">
        <f t="shared" si="9"/>
        <v>Newcastle United</v>
      </c>
    </row>
    <row r="112" spans="1:9" x14ac:dyDescent="0.25">
      <c r="A112">
        <v>2019</v>
      </c>
      <c r="B112">
        <v>11</v>
      </c>
      <c r="C112" t="str">
        <f t="shared" si="8"/>
        <v>9</v>
      </c>
      <c r="D112" t="s">
        <v>111</v>
      </c>
      <c r="E112" s="2">
        <f t="shared" si="5"/>
        <v>43778</v>
      </c>
      <c r="F112" s="2" t="str">
        <f t="shared" si="6"/>
        <v xml:space="preserve"> 3pm</v>
      </c>
      <c r="G112" s="2" t="s">
        <v>376</v>
      </c>
      <c r="H112" t="str">
        <f t="shared" si="7"/>
        <v>Burnley</v>
      </c>
      <c r="I112" t="str">
        <f t="shared" si="9"/>
        <v>West Ham United</v>
      </c>
    </row>
    <row r="113" spans="1:9" x14ac:dyDescent="0.25">
      <c r="A113">
        <v>2019</v>
      </c>
      <c r="B113">
        <v>11</v>
      </c>
      <c r="C113" t="str">
        <f t="shared" si="8"/>
        <v>9</v>
      </c>
      <c r="D113" t="s">
        <v>112</v>
      </c>
      <c r="E113" s="2">
        <f t="shared" si="5"/>
        <v>43778</v>
      </c>
      <c r="F113" s="2" t="str">
        <f t="shared" si="6"/>
        <v xml:space="preserve"> 3pm</v>
      </c>
      <c r="G113" s="2" t="s">
        <v>376</v>
      </c>
      <c r="H113" t="str">
        <f t="shared" si="7"/>
        <v>Chelsea</v>
      </c>
      <c r="I113" t="str">
        <f t="shared" si="9"/>
        <v>Crystal Palace</v>
      </c>
    </row>
    <row r="114" spans="1:9" x14ac:dyDescent="0.25">
      <c r="A114">
        <v>2019</v>
      </c>
      <c r="B114">
        <v>11</v>
      </c>
      <c r="C114" t="str">
        <f t="shared" si="8"/>
        <v>9</v>
      </c>
      <c r="D114" t="s">
        <v>113</v>
      </c>
      <c r="E114" s="2">
        <f t="shared" si="5"/>
        <v>43778</v>
      </c>
      <c r="F114" s="2" t="str">
        <f t="shared" si="6"/>
        <v xml:space="preserve"> 3pm</v>
      </c>
      <c r="G114" s="2" t="s">
        <v>376</v>
      </c>
      <c r="H114" t="str">
        <f t="shared" si="7"/>
        <v>Leicester City</v>
      </c>
      <c r="I114" t="str">
        <f t="shared" si="9"/>
        <v>Arsenal</v>
      </c>
    </row>
    <row r="115" spans="1:9" x14ac:dyDescent="0.25">
      <c r="A115">
        <v>2019</v>
      </c>
      <c r="B115">
        <v>11</v>
      </c>
      <c r="C115" t="str">
        <f t="shared" si="8"/>
        <v>9</v>
      </c>
      <c r="D115" t="s">
        <v>114</v>
      </c>
      <c r="E115" s="2">
        <f t="shared" si="5"/>
        <v>43778</v>
      </c>
      <c r="F115" s="2" t="str">
        <f t="shared" si="6"/>
        <v xml:space="preserve"> 3pm</v>
      </c>
      <c r="G115" s="2" t="s">
        <v>376</v>
      </c>
      <c r="H115" t="str">
        <f t="shared" si="7"/>
        <v>Liverpool</v>
      </c>
      <c r="I115" t="str">
        <f t="shared" si="9"/>
        <v>Manchester City</v>
      </c>
    </row>
    <row r="116" spans="1:9" x14ac:dyDescent="0.25">
      <c r="A116">
        <v>2019</v>
      </c>
      <c r="B116">
        <v>11</v>
      </c>
      <c r="C116" t="str">
        <f t="shared" si="8"/>
        <v>9</v>
      </c>
      <c r="D116" t="s">
        <v>115</v>
      </c>
      <c r="E116" s="2">
        <f t="shared" si="5"/>
        <v>43778</v>
      </c>
      <c r="F116" s="2" t="str">
        <f t="shared" si="6"/>
        <v xml:space="preserve"> 3pm</v>
      </c>
      <c r="G116" s="2" t="s">
        <v>376</v>
      </c>
      <c r="H116" t="str">
        <f t="shared" si="7"/>
        <v>Manchester United</v>
      </c>
      <c r="I116" t="str">
        <f t="shared" si="9"/>
        <v>Brighton</v>
      </c>
    </row>
    <row r="117" spans="1:9" x14ac:dyDescent="0.25">
      <c r="A117">
        <v>2019</v>
      </c>
      <c r="B117">
        <v>11</v>
      </c>
      <c r="C117" t="str">
        <f t="shared" si="8"/>
        <v>9</v>
      </c>
      <c r="D117" t="s">
        <v>116</v>
      </c>
      <c r="E117" s="2">
        <f t="shared" si="5"/>
        <v>43778</v>
      </c>
      <c r="F117" s="2" t="str">
        <f t="shared" si="6"/>
        <v xml:space="preserve"> 3pm</v>
      </c>
      <c r="G117" s="2" t="s">
        <v>376</v>
      </c>
      <c r="H117" t="str">
        <f t="shared" si="7"/>
        <v>Newcastle United</v>
      </c>
      <c r="I117" t="str">
        <f t="shared" si="9"/>
        <v>Bournemouth</v>
      </c>
    </row>
    <row r="118" spans="1:9" x14ac:dyDescent="0.25">
      <c r="A118">
        <v>2019</v>
      </c>
      <c r="B118">
        <v>11</v>
      </c>
      <c r="C118" t="str">
        <f t="shared" si="8"/>
        <v>9</v>
      </c>
      <c r="D118" t="s">
        <v>117</v>
      </c>
      <c r="E118" s="2">
        <f t="shared" si="5"/>
        <v>43778</v>
      </c>
      <c r="F118" s="2" t="str">
        <f t="shared" si="6"/>
        <v xml:space="preserve"> 3pm</v>
      </c>
      <c r="G118" s="2" t="s">
        <v>376</v>
      </c>
      <c r="H118" t="str">
        <f t="shared" si="7"/>
        <v>Norwich City</v>
      </c>
      <c r="I118" t="str">
        <f t="shared" si="9"/>
        <v>Watford</v>
      </c>
    </row>
    <row r="119" spans="1:9" x14ac:dyDescent="0.25">
      <c r="A119">
        <v>2019</v>
      </c>
      <c r="B119">
        <v>11</v>
      </c>
      <c r="C119" t="str">
        <f t="shared" si="8"/>
        <v>9</v>
      </c>
      <c r="D119" t="s">
        <v>118</v>
      </c>
      <c r="E119" s="2">
        <f t="shared" si="5"/>
        <v>43778</v>
      </c>
      <c r="F119" s="2" t="str">
        <f t="shared" si="6"/>
        <v xml:space="preserve"> 3pm</v>
      </c>
      <c r="G119" s="2" t="s">
        <v>376</v>
      </c>
      <c r="H119" t="str">
        <f t="shared" si="7"/>
        <v>Southampton</v>
      </c>
      <c r="I119" t="str">
        <f t="shared" si="9"/>
        <v>Everton</v>
      </c>
    </row>
    <row r="120" spans="1:9" x14ac:dyDescent="0.25">
      <c r="A120">
        <v>2019</v>
      </c>
      <c r="B120">
        <v>11</v>
      </c>
      <c r="C120" t="str">
        <f t="shared" si="8"/>
        <v>9</v>
      </c>
      <c r="D120" t="s">
        <v>119</v>
      </c>
      <c r="E120" s="2">
        <f t="shared" si="5"/>
        <v>43778</v>
      </c>
      <c r="F120" s="2" t="str">
        <f t="shared" si="6"/>
        <v xml:space="preserve"> 3pm</v>
      </c>
      <c r="G120" s="2" t="s">
        <v>376</v>
      </c>
      <c r="H120" t="str">
        <f t="shared" si="7"/>
        <v>Tottenham Hotspur</v>
      </c>
      <c r="I120" t="str">
        <f t="shared" si="9"/>
        <v>Sheffield United</v>
      </c>
    </row>
    <row r="121" spans="1:9" x14ac:dyDescent="0.25">
      <c r="A121">
        <v>2019</v>
      </c>
      <c r="B121">
        <v>11</v>
      </c>
      <c r="C121" t="str">
        <f t="shared" si="8"/>
        <v>9</v>
      </c>
      <c r="D121" t="s">
        <v>120</v>
      </c>
      <c r="E121" s="2">
        <f t="shared" si="5"/>
        <v>43778</v>
      </c>
      <c r="F121" s="2" t="str">
        <f t="shared" si="6"/>
        <v xml:space="preserve"> 3pm</v>
      </c>
      <c r="G121" s="2" t="s">
        <v>376</v>
      </c>
      <c r="H121" t="str">
        <f t="shared" si="7"/>
        <v>Wolves</v>
      </c>
      <c r="I121" t="str">
        <f t="shared" si="9"/>
        <v>Aston Villa</v>
      </c>
    </row>
    <row r="122" spans="1:9" x14ac:dyDescent="0.25">
      <c r="A122">
        <v>2019</v>
      </c>
      <c r="B122">
        <v>11</v>
      </c>
      <c r="C122" t="str">
        <f t="shared" si="8"/>
        <v>23</v>
      </c>
      <c r="D122" t="s">
        <v>121</v>
      </c>
      <c r="E122" s="2">
        <f t="shared" si="5"/>
        <v>43792</v>
      </c>
      <c r="F122" s="2" t="str">
        <f t="shared" si="6"/>
        <v xml:space="preserve"> 3pm</v>
      </c>
      <c r="G122" s="2" t="s">
        <v>376</v>
      </c>
      <c r="H122" t="str">
        <f t="shared" si="7"/>
        <v>Bournemouth</v>
      </c>
      <c r="I122" t="str">
        <f t="shared" si="9"/>
        <v>Wolves</v>
      </c>
    </row>
    <row r="123" spans="1:9" x14ac:dyDescent="0.25">
      <c r="A123">
        <v>2019</v>
      </c>
      <c r="B123">
        <v>11</v>
      </c>
      <c r="C123" t="str">
        <f t="shared" si="8"/>
        <v>23</v>
      </c>
      <c r="D123" t="s">
        <v>122</v>
      </c>
      <c r="E123" s="2">
        <f t="shared" si="5"/>
        <v>43792</v>
      </c>
      <c r="F123" s="2" t="str">
        <f t="shared" si="6"/>
        <v xml:space="preserve"> 3pm</v>
      </c>
      <c r="G123" s="2" t="s">
        <v>376</v>
      </c>
      <c r="H123" t="str">
        <f t="shared" si="7"/>
        <v>Arsenal</v>
      </c>
      <c r="I123" t="str">
        <f t="shared" si="9"/>
        <v>Southampton</v>
      </c>
    </row>
    <row r="124" spans="1:9" x14ac:dyDescent="0.25">
      <c r="A124">
        <v>2019</v>
      </c>
      <c r="B124">
        <v>11</v>
      </c>
      <c r="C124" t="str">
        <f t="shared" si="8"/>
        <v>23</v>
      </c>
      <c r="D124" t="s">
        <v>123</v>
      </c>
      <c r="E124" s="2">
        <f t="shared" si="5"/>
        <v>43792</v>
      </c>
      <c r="F124" s="2" t="str">
        <f t="shared" si="6"/>
        <v xml:space="preserve"> 3pm</v>
      </c>
      <c r="G124" s="2" t="s">
        <v>376</v>
      </c>
      <c r="H124" t="str">
        <f t="shared" si="7"/>
        <v>Aston Villa</v>
      </c>
      <c r="I124" t="str">
        <f t="shared" si="9"/>
        <v>Newcastle United</v>
      </c>
    </row>
    <row r="125" spans="1:9" x14ac:dyDescent="0.25">
      <c r="A125">
        <v>2019</v>
      </c>
      <c r="B125">
        <v>11</v>
      </c>
      <c r="C125" t="str">
        <f t="shared" si="8"/>
        <v>23</v>
      </c>
      <c r="D125" t="s">
        <v>124</v>
      </c>
      <c r="E125" s="2">
        <f t="shared" si="5"/>
        <v>43792</v>
      </c>
      <c r="F125" s="2" t="str">
        <f t="shared" si="6"/>
        <v xml:space="preserve"> 3pm</v>
      </c>
      <c r="G125" s="2" t="s">
        <v>376</v>
      </c>
      <c r="H125" t="str">
        <f t="shared" si="7"/>
        <v>Brighton</v>
      </c>
      <c r="I125" t="str">
        <f t="shared" si="9"/>
        <v>Leicester City</v>
      </c>
    </row>
    <row r="126" spans="1:9" x14ac:dyDescent="0.25">
      <c r="A126">
        <v>2019</v>
      </c>
      <c r="B126">
        <v>11</v>
      </c>
      <c r="C126" t="str">
        <f t="shared" si="8"/>
        <v>23</v>
      </c>
      <c r="D126" t="s">
        <v>125</v>
      </c>
      <c r="E126" s="2">
        <f t="shared" si="5"/>
        <v>43792</v>
      </c>
      <c r="F126" s="2" t="str">
        <f t="shared" si="6"/>
        <v xml:space="preserve"> 3pm</v>
      </c>
      <c r="G126" s="2" t="s">
        <v>376</v>
      </c>
      <c r="H126" t="str">
        <f t="shared" si="7"/>
        <v>Crystal Palace</v>
      </c>
      <c r="I126" t="str">
        <f t="shared" si="9"/>
        <v>Liverpool</v>
      </c>
    </row>
    <row r="127" spans="1:9" x14ac:dyDescent="0.25">
      <c r="A127">
        <v>2019</v>
      </c>
      <c r="B127">
        <v>11</v>
      </c>
      <c r="C127" t="str">
        <f t="shared" si="8"/>
        <v>23</v>
      </c>
      <c r="D127" t="s">
        <v>126</v>
      </c>
      <c r="E127" s="2">
        <f t="shared" si="5"/>
        <v>43792</v>
      </c>
      <c r="F127" s="2" t="str">
        <f t="shared" si="6"/>
        <v xml:space="preserve"> 3pm</v>
      </c>
      <c r="G127" s="2" t="s">
        <v>376</v>
      </c>
      <c r="H127" t="str">
        <f t="shared" si="7"/>
        <v>Everton</v>
      </c>
      <c r="I127" t="str">
        <f t="shared" si="9"/>
        <v>Norwich City</v>
      </c>
    </row>
    <row r="128" spans="1:9" x14ac:dyDescent="0.25">
      <c r="A128">
        <v>2019</v>
      </c>
      <c r="B128">
        <v>11</v>
      </c>
      <c r="C128" t="str">
        <f t="shared" si="8"/>
        <v>23</v>
      </c>
      <c r="D128" t="s">
        <v>127</v>
      </c>
      <c r="E128" s="2">
        <f t="shared" si="5"/>
        <v>43792</v>
      </c>
      <c r="F128" s="2" t="str">
        <f t="shared" si="6"/>
        <v xml:space="preserve"> 3pm</v>
      </c>
      <c r="G128" s="2" t="s">
        <v>376</v>
      </c>
      <c r="H128" t="str">
        <f t="shared" si="7"/>
        <v>Manchester City</v>
      </c>
      <c r="I128" t="str">
        <f t="shared" si="9"/>
        <v>Chelsea</v>
      </c>
    </row>
    <row r="129" spans="1:9" x14ac:dyDescent="0.25">
      <c r="A129">
        <v>2019</v>
      </c>
      <c r="B129">
        <v>11</v>
      </c>
      <c r="C129" t="str">
        <f t="shared" si="8"/>
        <v>23</v>
      </c>
      <c r="D129" t="s">
        <v>128</v>
      </c>
      <c r="E129" s="2">
        <f t="shared" si="5"/>
        <v>43792</v>
      </c>
      <c r="F129" s="2" t="str">
        <f t="shared" si="6"/>
        <v xml:space="preserve"> 3pm</v>
      </c>
      <c r="G129" s="2" t="s">
        <v>376</v>
      </c>
      <c r="H129" t="str">
        <f t="shared" si="7"/>
        <v>Sheffield United</v>
      </c>
      <c r="I129" t="str">
        <f t="shared" si="9"/>
        <v>Manchester United</v>
      </c>
    </row>
    <row r="130" spans="1:9" x14ac:dyDescent="0.25">
      <c r="A130">
        <v>2019</v>
      </c>
      <c r="B130">
        <v>11</v>
      </c>
      <c r="C130" t="str">
        <f t="shared" si="8"/>
        <v>23</v>
      </c>
      <c r="D130" t="s">
        <v>129</v>
      </c>
      <c r="E130" s="2">
        <f t="shared" si="5"/>
        <v>43792</v>
      </c>
      <c r="F130" s="2" t="str">
        <f t="shared" si="6"/>
        <v xml:space="preserve"> 3pm</v>
      </c>
      <c r="G130" s="2" t="s">
        <v>376</v>
      </c>
      <c r="H130" t="str">
        <f t="shared" si="7"/>
        <v>Watford</v>
      </c>
      <c r="I130" t="str">
        <f t="shared" si="9"/>
        <v>Burnley</v>
      </c>
    </row>
    <row r="131" spans="1:9" x14ac:dyDescent="0.25">
      <c r="A131">
        <v>2019</v>
      </c>
      <c r="B131">
        <v>11</v>
      </c>
      <c r="C131" t="str">
        <f t="shared" si="8"/>
        <v>23</v>
      </c>
      <c r="D131" t="s">
        <v>130</v>
      </c>
      <c r="E131" s="2">
        <f t="shared" ref="E131:E194" si="10">DATE(A131, B131, C131)</f>
        <v>43792</v>
      </c>
      <c r="F131" s="2" t="str">
        <f t="shared" ref="F131:F194" si="11">RIGHT(D131, (LEN(D131) - FIND(", ", D131)))</f>
        <v xml:space="preserve"> 3pm</v>
      </c>
      <c r="G131" s="2" t="s">
        <v>376</v>
      </c>
      <c r="H131" t="str">
        <f t="shared" ref="H131:H162" si="12">RIGHT(LEFT(D131,FIND(" vs ",D131,1)-1), (LEN(LEFT(D131,FIND(" vs ",D131,1)-1))-FIND(":",D131, 1) - 1))</f>
        <v>West Ham United</v>
      </c>
      <c r="I131" t="str">
        <f t="shared" si="9"/>
        <v>Tottenham Hotspur</v>
      </c>
    </row>
    <row r="132" spans="1:9" x14ac:dyDescent="0.25">
      <c r="A132">
        <v>2019</v>
      </c>
      <c r="B132">
        <v>11</v>
      </c>
      <c r="C132" t="str">
        <f t="shared" si="8"/>
        <v>30</v>
      </c>
      <c r="D132" t="s">
        <v>131</v>
      </c>
      <c r="E132" s="2">
        <f t="shared" si="10"/>
        <v>43799</v>
      </c>
      <c r="F132" s="2" t="str">
        <f t="shared" si="11"/>
        <v xml:space="preserve"> 3pm</v>
      </c>
      <c r="G132" s="2" t="s">
        <v>376</v>
      </c>
      <c r="H132" t="str">
        <f t="shared" si="12"/>
        <v>Burnley</v>
      </c>
      <c r="I132" t="str">
        <f t="shared" si="9"/>
        <v>Crystal Palace</v>
      </c>
    </row>
    <row r="133" spans="1:9" x14ac:dyDescent="0.25">
      <c r="A133">
        <v>2019</v>
      </c>
      <c r="B133">
        <v>11</v>
      </c>
      <c r="C133" t="str">
        <f t="shared" ref="C133:C196" si="13">LEFT(D133,FIND(":",D133,1)-1)</f>
        <v>30</v>
      </c>
      <c r="D133" t="s">
        <v>132</v>
      </c>
      <c r="E133" s="2">
        <f t="shared" si="10"/>
        <v>43799</v>
      </c>
      <c r="F133" s="2" t="str">
        <f t="shared" si="11"/>
        <v xml:space="preserve"> 3pm</v>
      </c>
      <c r="G133" s="2" t="s">
        <v>376</v>
      </c>
      <c r="H133" t="str">
        <f t="shared" si="12"/>
        <v>Chelsea</v>
      </c>
      <c r="I133" t="str">
        <f t="shared" ref="I133:I196" si="14">LEFT(RIGHT(D133,LEN(D133)-FIND("vs",D133)-2),FIND(", ",RIGHT(D133,LEN(D133)-FIND("vs",D133)-3)))</f>
        <v>West Ham United</v>
      </c>
    </row>
    <row r="134" spans="1:9" x14ac:dyDescent="0.25">
      <c r="A134">
        <v>2019</v>
      </c>
      <c r="B134">
        <v>11</v>
      </c>
      <c r="C134" t="str">
        <f t="shared" si="13"/>
        <v>30</v>
      </c>
      <c r="D134" t="s">
        <v>133</v>
      </c>
      <c r="E134" s="2">
        <f t="shared" si="10"/>
        <v>43799</v>
      </c>
      <c r="F134" s="2" t="str">
        <f t="shared" si="11"/>
        <v xml:space="preserve"> 3pm</v>
      </c>
      <c r="G134" s="2" t="s">
        <v>376</v>
      </c>
      <c r="H134" t="str">
        <f t="shared" si="12"/>
        <v>Leicester City</v>
      </c>
      <c r="I134" t="str">
        <f t="shared" si="14"/>
        <v>Everton</v>
      </c>
    </row>
    <row r="135" spans="1:9" x14ac:dyDescent="0.25">
      <c r="A135">
        <v>2019</v>
      </c>
      <c r="B135">
        <v>11</v>
      </c>
      <c r="C135" t="str">
        <f t="shared" si="13"/>
        <v>30</v>
      </c>
      <c r="D135" t="s">
        <v>134</v>
      </c>
      <c r="E135" s="2">
        <f t="shared" si="10"/>
        <v>43799</v>
      </c>
      <c r="F135" s="2" t="str">
        <f t="shared" si="11"/>
        <v xml:space="preserve"> 3pm</v>
      </c>
      <c r="G135" s="2" t="s">
        <v>376</v>
      </c>
      <c r="H135" t="str">
        <f t="shared" si="12"/>
        <v>Liverpool</v>
      </c>
      <c r="I135" t="str">
        <f t="shared" si="14"/>
        <v>Brighton</v>
      </c>
    </row>
    <row r="136" spans="1:9" x14ac:dyDescent="0.25">
      <c r="A136">
        <v>2019</v>
      </c>
      <c r="B136">
        <v>11</v>
      </c>
      <c r="C136" t="str">
        <f t="shared" si="13"/>
        <v>30</v>
      </c>
      <c r="D136" t="s">
        <v>135</v>
      </c>
      <c r="E136" s="2">
        <f t="shared" si="10"/>
        <v>43799</v>
      </c>
      <c r="F136" s="2" t="str">
        <f t="shared" si="11"/>
        <v xml:space="preserve"> 3pm</v>
      </c>
      <c r="G136" s="2" t="s">
        <v>376</v>
      </c>
      <c r="H136" t="str">
        <f t="shared" si="12"/>
        <v>Manchester United</v>
      </c>
      <c r="I136" t="str">
        <f t="shared" si="14"/>
        <v>Aston Villa</v>
      </c>
    </row>
    <row r="137" spans="1:9" x14ac:dyDescent="0.25">
      <c r="A137">
        <v>2019</v>
      </c>
      <c r="B137">
        <v>11</v>
      </c>
      <c r="C137" t="str">
        <f t="shared" si="13"/>
        <v>30</v>
      </c>
      <c r="D137" t="s">
        <v>369</v>
      </c>
      <c r="E137" s="2">
        <f t="shared" si="10"/>
        <v>43799</v>
      </c>
      <c r="F137" s="2" t="str">
        <f t="shared" si="11"/>
        <v xml:space="preserve"> 3pm</v>
      </c>
      <c r="G137" s="2" t="s">
        <v>376</v>
      </c>
      <c r="H137" t="str">
        <f t="shared" si="12"/>
        <v>Newcastle United</v>
      </c>
      <c r="I137" t="str">
        <f t="shared" si="14"/>
        <v>Manchester City</v>
      </c>
    </row>
    <row r="138" spans="1:9" x14ac:dyDescent="0.25">
      <c r="A138">
        <v>2019</v>
      </c>
      <c r="B138">
        <v>11</v>
      </c>
      <c r="C138" t="str">
        <f t="shared" si="13"/>
        <v>30</v>
      </c>
      <c r="D138" t="s">
        <v>368</v>
      </c>
      <c r="E138" s="2">
        <f t="shared" si="10"/>
        <v>43799</v>
      </c>
      <c r="F138" s="2" t="str">
        <f t="shared" si="11"/>
        <v xml:space="preserve"> 3pm</v>
      </c>
      <c r="G138" s="2" t="s">
        <v>376</v>
      </c>
      <c r="H138" t="str">
        <f t="shared" si="12"/>
        <v>Norwich City</v>
      </c>
      <c r="I138" t="str">
        <f t="shared" si="14"/>
        <v>Arsenal</v>
      </c>
    </row>
    <row r="139" spans="1:9" x14ac:dyDescent="0.25">
      <c r="A139">
        <v>2019</v>
      </c>
      <c r="B139">
        <v>11</v>
      </c>
      <c r="C139" t="str">
        <f t="shared" si="13"/>
        <v>30</v>
      </c>
      <c r="D139" t="s">
        <v>367</v>
      </c>
      <c r="E139" s="2">
        <f t="shared" si="10"/>
        <v>43799</v>
      </c>
      <c r="F139" s="2" t="str">
        <f t="shared" si="11"/>
        <v xml:space="preserve"> 3pm</v>
      </c>
      <c r="G139" s="2" t="s">
        <v>376</v>
      </c>
      <c r="H139" t="str">
        <f t="shared" si="12"/>
        <v>Southampton</v>
      </c>
      <c r="I139" t="str">
        <f t="shared" si="14"/>
        <v>Watford</v>
      </c>
    </row>
    <row r="140" spans="1:9" x14ac:dyDescent="0.25">
      <c r="A140">
        <v>2019</v>
      </c>
      <c r="B140">
        <v>11</v>
      </c>
      <c r="C140" t="str">
        <f t="shared" si="13"/>
        <v>30</v>
      </c>
      <c r="D140" t="s">
        <v>136</v>
      </c>
      <c r="E140" s="2">
        <f t="shared" si="10"/>
        <v>43799</v>
      </c>
      <c r="F140" s="2" t="str">
        <f t="shared" si="11"/>
        <v xml:space="preserve"> 3pm</v>
      </c>
      <c r="G140" s="2" t="s">
        <v>376</v>
      </c>
      <c r="H140" t="str">
        <f t="shared" si="12"/>
        <v>Tottenham Hotspur</v>
      </c>
      <c r="I140" t="str">
        <f t="shared" si="14"/>
        <v>Bournemouth</v>
      </c>
    </row>
    <row r="141" spans="1:9" x14ac:dyDescent="0.25">
      <c r="A141">
        <v>2019</v>
      </c>
      <c r="B141">
        <v>11</v>
      </c>
      <c r="C141" t="str">
        <f t="shared" si="13"/>
        <v>30</v>
      </c>
      <c r="D141" t="s">
        <v>137</v>
      </c>
      <c r="E141" s="2">
        <f t="shared" si="10"/>
        <v>43799</v>
      </c>
      <c r="F141" s="2" t="str">
        <f t="shared" si="11"/>
        <v xml:space="preserve"> 3pm</v>
      </c>
      <c r="G141" s="2" t="s">
        <v>376</v>
      </c>
      <c r="H141" t="str">
        <f t="shared" si="12"/>
        <v>Wolves</v>
      </c>
      <c r="I141" t="str">
        <f t="shared" si="14"/>
        <v>Sheffield United</v>
      </c>
    </row>
    <row r="142" spans="1:9" x14ac:dyDescent="0.25">
      <c r="A142">
        <v>2019</v>
      </c>
      <c r="B142">
        <v>12</v>
      </c>
      <c r="C142" t="str">
        <f t="shared" si="13"/>
        <v>3</v>
      </c>
      <c r="D142" t="s">
        <v>380</v>
      </c>
      <c r="E142" s="2">
        <f t="shared" si="10"/>
        <v>43802</v>
      </c>
      <c r="F142" s="2" t="str">
        <f t="shared" si="11"/>
        <v xml:space="preserve"> 19:45</v>
      </c>
      <c r="G142" s="3">
        <v>0.82291666666666663</v>
      </c>
      <c r="H142" t="str">
        <f t="shared" si="12"/>
        <v>Arsenal</v>
      </c>
      <c r="I142" t="str">
        <f t="shared" si="14"/>
        <v>Brighton</v>
      </c>
    </row>
    <row r="143" spans="1:9" x14ac:dyDescent="0.25">
      <c r="A143">
        <v>2019</v>
      </c>
      <c r="B143">
        <v>12</v>
      </c>
      <c r="C143" t="str">
        <f t="shared" si="13"/>
        <v>3</v>
      </c>
      <c r="D143" t="s">
        <v>381</v>
      </c>
      <c r="E143" s="2">
        <f t="shared" si="10"/>
        <v>43802</v>
      </c>
      <c r="F143" s="2" t="str">
        <f t="shared" si="11"/>
        <v xml:space="preserve"> 19:45</v>
      </c>
      <c r="G143" s="3">
        <v>0.82291666666666663</v>
      </c>
      <c r="H143" t="str">
        <f t="shared" si="12"/>
        <v>Burnley</v>
      </c>
      <c r="I143" t="str">
        <f t="shared" si="14"/>
        <v>Manchester City</v>
      </c>
    </row>
    <row r="144" spans="1:9" x14ac:dyDescent="0.25">
      <c r="A144">
        <v>2019</v>
      </c>
      <c r="B144">
        <v>12</v>
      </c>
      <c r="C144" t="str">
        <f t="shared" si="13"/>
        <v>3</v>
      </c>
      <c r="D144" t="s">
        <v>382</v>
      </c>
      <c r="E144" s="2">
        <f t="shared" si="10"/>
        <v>43802</v>
      </c>
      <c r="F144" s="2" t="str">
        <f t="shared" si="11"/>
        <v xml:space="preserve"> 19:45</v>
      </c>
      <c r="G144" s="3">
        <v>0.82291666666666663</v>
      </c>
      <c r="H144" t="str">
        <f t="shared" si="12"/>
        <v>Leicester City</v>
      </c>
      <c r="I144" t="str">
        <f t="shared" si="14"/>
        <v>Watford</v>
      </c>
    </row>
    <row r="145" spans="1:9" x14ac:dyDescent="0.25">
      <c r="A145">
        <v>2019</v>
      </c>
      <c r="B145">
        <v>12</v>
      </c>
      <c r="C145" t="str">
        <f t="shared" si="13"/>
        <v>3</v>
      </c>
      <c r="D145" t="s">
        <v>384</v>
      </c>
      <c r="E145" s="2">
        <f t="shared" si="10"/>
        <v>43802</v>
      </c>
      <c r="F145" s="2" t="str">
        <f t="shared" si="11"/>
        <v xml:space="preserve"> 19:45</v>
      </c>
      <c r="G145" s="3">
        <v>0.82291666666666663</v>
      </c>
      <c r="H145" t="str">
        <f t="shared" si="12"/>
        <v>Sheffield United</v>
      </c>
      <c r="I145" t="str">
        <f t="shared" si="14"/>
        <v>Newcastle United</v>
      </c>
    </row>
    <row r="146" spans="1:9" x14ac:dyDescent="0.25">
      <c r="A146">
        <v>2019</v>
      </c>
      <c r="B146">
        <v>12</v>
      </c>
      <c r="C146" t="str">
        <f t="shared" si="13"/>
        <v>3</v>
      </c>
      <c r="D146" t="s">
        <v>383</v>
      </c>
      <c r="E146" s="2">
        <f t="shared" si="10"/>
        <v>43802</v>
      </c>
      <c r="F146" s="2" t="str">
        <f t="shared" si="11"/>
        <v xml:space="preserve"> 19:45</v>
      </c>
      <c r="G146" s="3">
        <v>0.82291666666666663</v>
      </c>
      <c r="H146" t="str">
        <f t="shared" si="12"/>
        <v>Wolves</v>
      </c>
      <c r="I146" t="str">
        <f t="shared" si="14"/>
        <v>West Ham United</v>
      </c>
    </row>
    <row r="147" spans="1:9" x14ac:dyDescent="0.25">
      <c r="A147">
        <v>2019</v>
      </c>
      <c r="B147">
        <v>12</v>
      </c>
      <c r="C147" t="str">
        <f t="shared" si="13"/>
        <v>3</v>
      </c>
      <c r="D147" t="s">
        <v>138</v>
      </c>
      <c r="E147" s="2">
        <f t="shared" si="10"/>
        <v>43802</v>
      </c>
      <c r="F147" s="2" t="str">
        <f t="shared" si="11"/>
        <v xml:space="preserve"> 8pm</v>
      </c>
      <c r="G147" s="2" t="s">
        <v>374</v>
      </c>
      <c r="H147" t="str">
        <f t="shared" si="12"/>
        <v>Manchester United</v>
      </c>
      <c r="I147" t="str">
        <f t="shared" si="14"/>
        <v>Tottenham Hotspur</v>
      </c>
    </row>
    <row r="148" spans="1:9" x14ac:dyDescent="0.25">
      <c r="A148">
        <v>2019</v>
      </c>
      <c r="B148">
        <v>12</v>
      </c>
      <c r="C148" t="str">
        <f t="shared" si="13"/>
        <v>4</v>
      </c>
      <c r="D148" t="s">
        <v>385</v>
      </c>
      <c r="E148" s="2">
        <f t="shared" si="10"/>
        <v>43803</v>
      </c>
      <c r="F148" s="2" t="str">
        <f t="shared" si="11"/>
        <v xml:space="preserve"> 19:45</v>
      </c>
      <c r="G148" s="3">
        <v>0.82291666666666663</v>
      </c>
      <c r="H148" t="str">
        <f t="shared" si="12"/>
        <v>Chelsea</v>
      </c>
      <c r="I148" t="str">
        <f t="shared" si="14"/>
        <v>Aston Villa</v>
      </c>
    </row>
    <row r="149" spans="1:9" x14ac:dyDescent="0.25">
      <c r="A149">
        <v>2019</v>
      </c>
      <c r="B149">
        <v>12</v>
      </c>
      <c r="C149" t="str">
        <f t="shared" si="13"/>
        <v>4</v>
      </c>
      <c r="D149" t="s">
        <v>386</v>
      </c>
      <c r="E149" s="2">
        <f t="shared" si="10"/>
        <v>43803</v>
      </c>
      <c r="F149" s="2" t="str">
        <f t="shared" si="11"/>
        <v xml:space="preserve"> 19:45</v>
      </c>
      <c r="G149" s="3">
        <v>0.82291666666666663</v>
      </c>
      <c r="H149" t="str">
        <f t="shared" si="12"/>
        <v>Southampton</v>
      </c>
      <c r="I149" t="str">
        <f t="shared" si="14"/>
        <v>Norwich City</v>
      </c>
    </row>
    <row r="150" spans="1:9" x14ac:dyDescent="0.25">
      <c r="A150">
        <v>2019</v>
      </c>
      <c r="B150">
        <v>12</v>
      </c>
      <c r="C150" t="str">
        <f t="shared" si="13"/>
        <v>4</v>
      </c>
      <c r="D150" t="s">
        <v>139</v>
      </c>
      <c r="E150" s="2">
        <f t="shared" si="10"/>
        <v>43803</v>
      </c>
      <c r="F150" s="2" t="str">
        <f t="shared" si="11"/>
        <v xml:space="preserve"> 8pm</v>
      </c>
      <c r="G150" s="2" t="s">
        <v>374</v>
      </c>
      <c r="H150" t="str">
        <f t="shared" si="12"/>
        <v>Liverpool</v>
      </c>
      <c r="I150" t="str">
        <f t="shared" si="14"/>
        <v>Everton</v>
      </c>
    </row>
    <row r="151" spans="1:9" x14ac:dyDescent="0.25">
      <c r="A151">
        <v>2019</v>
      </c>
      <c r="B151">
        <v>12</v>
      </c>
      <c r="C151" t="str">
        <f t="shared" si="13"/>
        <v>4</v>
      </c>
      <c r="D151" t="s">
        <v>387</v>
      </c>
      <c r="E151" s="2">
        <f t="shared" si="10"/>
        <v>43803</v>
      </c>
      <c r="F151" s="2" t="str">
        <f t="shared" si="11"/>
        <v xml:space="preserve"> 8pm</v>
      </c>
      <c r="G151" s="2" t="s">
        <v>374</v>
      </c>
      <c r="H151" t="str">
        <f t="shared" si="12"/>
        <v>Crystal Palace</v>
      </c>
      <c r="I151" t="str">
        <f t="shared" si="14"/>
        <v>Bournemouth</v>
      </c>
    </row>
    <row r="152" spans="1:9" x14ac:dyDescent="0.25">
      <c r="A152">
        <v>2019</v>
      </c>
      <c r="B152">
        <v>12</v>
      </c>
      <c r="C152" t="str">
        <f t="shared" si="13"/>
        <v>7</v>
      </c>
      <c r="D152" t="s">
        <v>140</v>
      </c>
      <c r="E152" s="2">
        <f t="shared" si="10"/>
        <v>43806</v>
      </c>
      <c r="F152" s="2" t="str">
        <f t="shared" si="11"/>
        <v xml:space="preserve"> 3pm</v>
      </c>
      <c r="G152" s="2" t="s">
        <v>376</v>
      </c>
      <c r="H152" t="str">
        <f t="shared" si="12"/>
        <v>Bournemouth</v>
      </c>
      <c r="I152" t="str">
        <f t="shared" si="14"/>
        <v>Liverpool</v>
      </c>
    </row>
    <row r="153" spans="1:9" x14ac:dyDescent="0.25">
      <c r="A153">
        <v>2019</v>
      </c>
      <c r="B153">
        <v>12</v>
      </c>
      <c r="C153" t="str">
        <f t="shared" si="13"/>
        <v>7</v>
      </c>
      <c r="D153" t="s">
        <v>141</v>
      </c>
      <c r="E153" s="2">
        <f t="shared" si="10"/>
        <v>43806</v>
      </c>
      <c r="F153" s="2" t="str">
        <f t="shared" si="11"/>
        <v xml:space="preserve"> 3pm</v>
      </c>
      <c r="G153" s="2" t="s">
        <v>376</v>
      </c>
      <c r="H153" t="str">
        <f t="shared" si="12"/>
        <v>Aston Villa</v>
      </c>
      <c r="I153" t="str">
        <f t="shared" si="14"/>
        <v>Leicester City</v>
      </c>
    </row>
    <row r="154" spans="1:9" x14ac:dyDescent="0.25">
      <c r="A154">
        <v>2019</v>
      </c>
      <c r="B154">
        <v>12</v>
      </c>
      <c r="C154" t="str">
        <f t="shared" si="13"/>
        <v>7</v>
      </c>
      <c r="D154" t="s">
        <v>142</v>
      </c>
      <c r="E154" s="2">
        <f t="shared" si="10"/>
        <v>43806</v>
      </c>
      <c r="F154" s="2" t="str">
        <f t="shared" si="11"/>
        <v xml:space="preserve"> 3pm</v>
      </c>
      <c r="G154" s="2" t="s">
        <v>376</v>
      </c>
      <c r="H154" t="str">
        <f t="shared" si="12"/>
        <v>Brighton</v>
      </c>
      <c r="I154" t="str">
        <f t="shared" si="14"/>
        <v>Wolves</v>
      </c>
    </row>
    <row r="155" spans="1:9" x14ac:dyDescent="0.25">
      <c r="A155">
        <v>2019</v>
      </c>
      <c r="B155">
        <v>12</v>
      </c>
      <c r="C155" t="str">
        <f t="shared" si="13"/>
        <v>7</v>
      </c>
      <c r="D155" t="s">
        <v>143</v>
      </c>
      <c r="E155" s="2">
        <f t="shared" si="10"/>
        <v>43806</v>
      </c>
      <c r="F155" s="2" t="str">
        <f t="shared" si="11"/>
        <v xml:space="preserve"> 3pm</v>
      </c>
      <c r="G155" s="2" t="s">
        <v>376</v>
      </c>
      <c r="H155" t="str">
        <f t="shared" si="12"/>
        <v>Everton</v>
      </c>
      <c r="I155" t="str">
        <f t="shared" si="14"/>
        <v>Chelsea</v>
      </c>
    </row>
    <row r="156" spans="1:9" x14ac:dyDescent="0.25">
      <c r="A156">
        <v>2019</v>
      </c>
      <c r="B156">
        <v>12</v>
      </c>
      <c r="C156" t="str">
        <f t="shared" si="13"/>
        <v>7</v>
      </c>
      <c r="D156" t="s">
        <v>144</v>
      </c>
      <c r="E156" s="2">
        <f t="shared" si="10"/>
        <v>43806</v>
      </c>
      <c r="F156" s="2" t="str">
        <f t="shared" si="11"/>
        <v xml:space="preserve"> 3pm</v>
      </c>
      <c r="G156" s="2" t="s">
        <v>376</v>
      </c>
      <c r="H156" t="str">
        <f t="shared" si="12"/>
        <v>Manchester City</v>
      </c>
      <c r="I156" t="str">
        <f t="shared" si="14"/>
        <v>Manchester United</v>
      </c>
    </row>
    <row r="157" spans="1:9" x14ac:dyDescent="0.25">
      <c r="A157">
        <v>2019</v>
      </c>
      <c r="B157">
        <v>12</v>
      </c>
      <c r="C157" t="str">
        <f t="shared" si="13"/>
        <v>7</v>
      </c>
      <c r="D157" t="s">
        <v>145</v>
      </c>
      <c r="E157" s="2">
        <f t="shared" si="10"/>
        <v>43806</v>
      </c>
      <c r="F157" s="2" t="str">
        <f t="shared" si="11"/>
        <v xml:space="preserve"> 3pm</v>
      </c>
      <c r="G157" s="2" t="s">
        <v>376</v>
      </c>
      <c r="H157" t="str">
        <f t="shared" si="12"/>
        <v>Newcastle United</v>
      </c>
      <c r="I157" t="str">
        <f t="shared" si="14"/>
        <v>Southampton</v>
      </c>
    </row>
    <row r="158" spans="1:9" x14ac:dyDescent="0.25">
      <c r="A158">
        <v>2019</v>
      </c>
      <c r="B158">
        <v>12</v>
      </c>
      <c r="C158" t="str">
        <f t="shared" si="13"/>
        <v>7</v>
      </c>
      <c r="D158" t="s">
        <v>146</v>
      </c>
      <c r="E158" s="2">
        <f t="shared" si="10"/>
        <v>43806</v>
      </c>
      <c r="F158" s="2" t="str">
        <f t="shared" si="11"/>
        <v xml:space="preserve"> 3pm</v>
      </c>
      <c r="G158" s="2" t="s">
        <v>376</v>
      </c>
      <c r="H158" t="str">
        <f t="shared" si="12"/>
        <v>Norwich City</v>
      </c>
      <c r="I158" t="str">
        <f t="shared" si="14"/>
        <v>Sheffield United</v>
      </c>
    </row>
    <row r="159" spans="1:9" x14ac:dyDescent="0.25">
      <c r="A159">
        <v>2019</v>
      </c>
      <c r="B159">
        <v>12</v>
      </c>
      <c r="C159" t="str">
        <f t="shared" si="13"/>
        <v>7</v>
      </c>
      <c r="D159" t="s">
        <v>147</v>
      </c>
      <c r="E159" s="2">
        <f t="shared" si="10"/>
        <v>43806</v>
      </c>
      <c r="F159" s="2" t="str">
        <f t="shared" si="11"/>
        <v xml:space="preserve"> 3pm</v>
      </c>
      <c r="G159" s="2" t="s">
        <v>376</v>
      </c>
      <c r="H159" t="str">
        <f t="shared" si="12"/>
        <v>Tottenham Hotspur</v>
      </c>
      <c r="I159" t="str">
        <f t="shared" si="14"/>
        <v>Burnley</v>
      </c>
    </row>
    <row r="160" spans="1:9" x14ac:dyDescent="0.25">
      <c r="A160">
        <v>2019</v>
      </c>
      <c r="B160">
        <v>12</v>
      </c>
      <c r="C160" t="str">
        <f t="shared" si="13"/>
        <v>7</v>
      </c>
      <c r="D160" t="s">
        <v>148</v>
      </c>
      <c r="E160" s="2">
        <f t="shared" si="10"/>
        <v>43806</v>
      </c>
      <c r="F160" s="2" t="str">
        <f t="shared" si="11"/>
        <v xml:space="preserve"> 3pm</v>
      </c>
      <c r="G160" s="2" t="s">
        <v>376</v>
      </c>
      <c r="H160" t="str">
        <f t="shared" si="12"/>
        <v>Watford</v>
      </c>
      <c r="I160" t="str">
        <f t="shared" si="14"/>
        <v>Crystal Palace</v>
      </c>
    </row>
    <row r="161" spans="1:9" x14ac:dyDescent="0.25">
      <c r="A161">
        <v>2019</v>
      </c>
      <c r="B161">
        <v>12</v>
      </c>
      <c r="C161" t="str">
        <f t="shared" si="13"/>
        <v>7</v>
      </c>
      <c r="D161" t="s">
        <v>149</v>
      </c>
      <c r="E161" s="2">
        <f t="shared" si="10"/>
        <v>43806</v>
      </c>
      <c r="F161" s="2" t="str">
        <f t="shared" si="11"/>
        <v xml:space="preserve"> 3pm</v>
      </c>
      <c r="G161" s="2" t="s">
        <v>376</v>
      </c>
      <c r="H161" t="str">
        <f t="shared" si="12"/>
        <v>West Ham United</v>
      </c>
      <c r="I161" t="str">
        <f t="shared" si="14"/>
        <v>Arsenal</v>
      </c>
    </row>
    <row r="162" spans="1:9" x14ac:dyDescent="0.25">
      <c r="A162">
        <v>2019</v>
      </c>
      <c r="B162">
        <v>12</v>
      </c>
      <c r="C162" t="str">
        <f t="shared" si="13"/>
        <v>14</v>
      </c>
      <c r="D162" t="s">
        <v>150</v>
      </c>
      <c r="E162" s="2">
        <f t="shared" si="10"/>
        <v>43813</v>
      </c>
      <c r="F162" s="2" t="str">
        <f t="shared" si="11"/>
        <v xml:space="preserve"> 3pm</v>
      </c>
      <c r="G162" s="2" t="s">
        <v>376</v>
      </c>
      <c r="H162" t="str">
        <f t="shared" si="12"/>
        <v>Arsenal</v>
      </c>
      <c r="I162" t="str">
        <f t="shared" si="14"/>
        <v>Manchester City</v>
      </c>
    </row>
    <row r="163" spans="1:9" x14ac:dyDescent="0.25">
      <c r="A163">
        <v>2019</v>
      </c>
      <c r="B163">
        <v>12</v>
      </c>
      <c r="C163" t="str">
        <f t="shared" si="13"/>
        <v>14</v>
      </c>
      <c r="D163" t="s">
        <v>370</v>
      </c>
      <c r="E163" s="2">
        <f t="shared" si="10"/>
        <v>43813</v>
      </c>
      <c r="F163" s="2" t="str">
        <f t="shared" si="11"/>
        <v xml:space="preserve"> 3pm</v>
      </c>
      <c r="G163" s="2" t="s">
        <v>376</v>
      </c>
      <c r="H163" t="s">
        <v>0</v>
      </c>
      <c r="I163" t="str">
        <f t="shared" si="14"/>
        <v>Newcastle United</v>
      </c>
    </row>
    <row r="164" spans="1:9" x14ac:dyDescent="0.25">
      <c r="A164">
        <v>2019</v>
      </c>
      <c r="B164">
        <v>12</v>
      </c>
      <c r="C164" t="str">
        <f t="shared" si="13"/>
        <v>14</v>
      </c>
      <c r="D164" t="s">
        <v>151</v>
      </c>
      <c r="E164" s="2">
        <f t="shared" si="10"/>
        <v>43813</v>
      </c>
      <c r="F164" s="2" t="str">
        <f t="shared" si="11"/>
        <v xml:space="preserve"> 3pm</v>
      </c>
      <c r="G164" s="2" t="s">
        <v>376</v>
      </c>
      <c r="H164" t="str">
        <f t="shared" ref="H164:H195" si="15">RIGHT(LEFT(D164,FIND(" vs ",D164,1)-1), (LEN(LEFT(D164,FIND(" vs ",D164,1)-1))-FIND(":",D164, 1) - 1))</f>
        <v>Chelsea</v>
      </c>
      <c r="I164" t="str">
        <f t="shared" si="14"/>
        <v>Bournemouth</v>
      </c>
    </row>
    <row r="165" spans="1:9" x14ac:dyDescent="0.25">
      <c r="A165">
        <v>2019</v>
      </c>
      <c r="B165">
        <v>12</v>
      </c>
      <c r="C165" t="str">
        <f t="shared" si="13"/>
        <v>14</v>
      </c>
      <c r="D165" t="s">
        <v>152</v>
      </c>
      <c r="E165" s="2">
        <f t="shared" si="10"/>
        <v>43813</v>
      </c>
      <c r="F165" s="2" t="str">
        <f t="shared" si="11"/>
        <v xml:space="preserve"> 3pm</v>
      </c>
      <c r="G165" s="2" t="s">
        <v>376</v>
      </c>
      <c r="H165" t="str">
        <f t="shared" si="15"/>
        <v>Crystal Palace</v>
      </c>
      <c r="I165" t="str">
        <f t="shared" si="14"/>
        <v>Brighton</v>
      </c>
    </row>
    <row r="166" spans="1:9" x14ac:dyDescent="0.25">
      <c r="A166">
        <v>2019</v>
      </c>
      <c r="B166">
        <v>12</v>
      </c>
      <c r="C166" t="str">
        <f t="shared" si="13"/>
        <v>14</v>
      </c>
      <c r="D166" t="s">
        <v>153</v>
      </c>
      <c r="E166" s="2">
        <f t="shared" si="10"/>
        <v>43813</v>
      </c>
      <c r="F166" s="2" t="str">
        <f t="shared" si="11"/>
        <v xml:space="preserve"> 3pm</v>
      </c>
      <c r="G166" s="2" t="s">
        <v>376</v>
      </c>
      <c r="H166" t="str">
        <f t="shared" si="15"/>
        <v>Leicester City</v>
      </c>
      <c r="I166" t="str">
        <f t="shared" si="14"/>
        <v>Norwich City</v>
      </c>
    </row>
    <row r="167" spans="1:9" x14ac:dyDescent="0.25">
      <c r="A167">
        <v>2019</v>
      </c>
      <c r="B167">
        <v>12</v>
      </c>
      <c r="C167" t="str">
        <f t="shared" si="13"/>
        <v>14</v>
      </c>
      <c r="D167" t="s">
        <v>154</v>
      </c>
      <c r="E167" s="2">
        <f t="shared" si="10"/>
        <v>43813</v>
      </c>
      <c r="F167" s="2" t="str">
        <f t="shared" si="11"/>
        <v xml:space="preserve"> 3pm</v>
      </c>
      <c r="G167" s="2" t="s">
        <v>376</v>
      </c>
      <c r="H167" t="str">
        <f t="shared" si="15"/>
        <v>Liverpool</v>
      </c>
      <c r="I167" t="str">
        <f t="shared" si="14"/>
        <v>Watford</v>
      </c>
    </row>
    <row r="168" spans="1:9" x14ac:dyDescent="0.25">
      <c r="A168">
        <v>2019</v>
      </c>
      <c r="B168">
        <v>12</v>
      </c>
      <c r="C168" t="str">
        <f t="shared" si="13"/>
        <v>14</v>
      </c>
      <c r="D168" t="s">
        <v>155</v>
      </c>
      <c r="E168" s="2">
        <f t="shared" si="10"/>
        <v>43813</v>
      </c>
      <c r="F168" s="2" t="str">
        <f t="shared" si="11"/>
        <v xml:space="preserve"> 3pm</v>
      </c>
      <c r="G168" s="2" t="s">
        <v>376</v>
      </c>
      <c r="H168" t="str">
        <f t="shared" si="15"/>
        <v>Manchester United</v>
      </c>
      <c r="I168" t="str">
        <f t="shared" si="14"/>
        <v>Everton</v>
      </c>
    </row>
    <row r="169" spans="1:9" x14ac:dyDescent="0.25">
      <c r="A169">
        <v>2019</v>
      </c>
      <c r="B169">
        <v>12</v>
      </c>
      <c r="C169" t="str">
        <f t="shared" si="13"/>
        <v>14</v>
      </c>
      <c r="D169" t="s">
        <v>156</v>
      </c>
      <c r="E169" s="2">
        <f t="shared" si="10"/>
        <v>43813</v>
      </c>
      <c r="F169" s="2" t="str">
        <f t="shared" si="11"/>
        <v xml:space="preserve"> 3pm</v>
      </c>
      <c r="G169" s="2" t="s">
        <v>376</v>
      </c>
      <c r="H169" t="str">
        <f t="shared" si="15"/>
        <v>Sheffield United</v>
      </c>
      <c r="I169" t="str">
        <f t="shared" si="14"/>
        <v>Aston Villa</v>
      </c>
    </row>
    <row r="170" spans="1:9" x14ac:dyDescent="0.25">
      <c r="A170">
        <v>2019</v>
      </c>
      <c r="B170">
        <v>12</v>
      </c>
      <c r="C170" t="str">
        <f t="shared" si="13"/>
        <v>14</v>
      </c>
      <c r="D170" t="s">
        <v>157</v>
      </c>
      <c r="E170" s="2">
        <f t="shared" si="10"/>
        <v>43813</v>
      </c>
      <c r="F170" s="2" t="str">
        <f t="shared" si="11"/>
        <v xml:space="preserve"> 3pm</v>
      </c>
      <c r="G170" s="2" t="s">
        <v>376</v>
      </c>
      <c r="H170" t="str">
        <f t="shared" si="15"/>
        <v>Southampton</v>
      </c>
      <c r="I170" t="str">
        <f t="shared" si="14"/>
        <v>West Ham United</v>
      </c>
    </row>
    <row r="171" spans="1:9" x14ac:dyDescent="0.25">
      <c r="A171">
        <v>2019</v>
      </c>
      <c r="B171">
        <v>12</v>
      </c>
      <c r="C171" t="str">
        <f t="shared" si="13"/>
        <v>14</v>
      </c>
      <c r="D171" t="s">
        <v>158</v>
      </c>
      <c r="E171" s="2">
        <f t="shared" si="10"/>
        <v>43813</v>
      </c>
      <c r="F171" s="2" t="str">
        <f t="shared" si="11"/>
        <v xml:space="preserve"> 3pm</v>
      </c>
      <c r="G171" s="2" t="s">
        <v>376</v>
      </c>
      <c r="H171" t="str">
        <f t="shared" si="15"/>
        <v>Wolves</v>
      </c>
      <c r="I171" t="str">
        <f t="shared" si="14"/>
        <v>Tottenham Hotspur</v>
      </c>
    </row>
    <row r="172" spans="1:9" x14ac:dyDescent="0.25">
      <c r="A172">
        <v>2019</v>
      </c>
      <c r="B172">
        <v>12</v>
      </c>
      <c r="C172" t="str">
        <f t="shared" si="13"/>
        <v>21</v>
      </c>
      <c r="D172" t="s">
        <v>159</v>
      </c>
      <c r="E172" s="2">
        <f t="shared" si="10"/>
        <v>43820</v>
      </c>
      <c r="F172" s="2" t="str">
        <f t="shared" si="11"/>
        <v xml:space="preserve"> 3pm</v>
      </c>
      <c r="G172" s="2" t="s">
        <v>376</v>
      </c>
      <c r="H172" t="str">
        <f t="shared" si="15"/>
        <v>Bournemouth</v>
      </c>
      <c r="I172" t="str">
        <f t="shared" si="14"/>
        <v>Burnley</v>
      </c>
    </row>
    <row r="173" spans="1:9" x14ac:dyDescent="0.25">
      <c r="A173">
        <v>2019</v>
      </c>
      <c r="B173">
        <v>12</v>
      </c>
      <c r="C173" t="str">
        <f t="shared" si="13"/>
        <v>21</v>
      </c>
      <c r="D173" t="s">
        <v>160</v>
      </c>
      <c r="E173" s="2">
        <f t="shared" si="10"/>
        <v>43820</v>
      </c>
      <c r="F173" s="2" t="str">
        <f t="shared" si="11"/>
        <v xml:space="preserve"> 3pm</v>
      </c>
      <c r="G173" s="2" t="s">
        <v>376</v>
      </c>
      <c r="H173" t="str">
        <f t="shared" si="15"/>
        <v>Aston Villa</v>
      </c>
      <c r="I173" t="str">
        <f t="shared" si="14"/>
        <v>Southampton</v>
      </c>
    </row>
    <row r="174" spans="1:9" x14ac:dyDescent="0.25">
      <c r="A174">
        <v>2019</v>
      </c>
      <c r="B174">
        <v>12</v>
      </c>
      <c r="C174" t="str">
        <f t="shared" si="13"/>
        <v>21</v>
      </c>
      <c r="D174" t="s">
        <v>161</v>
      </c>
      <c r="E174" s="2">
        <f t="shared" si="10"/>
        <v>43820</v>
      </c>
      <c r="F174" s="2" t="str">
        <f t="shared" si="11"/>
        <v xml:space="preserve"> 3pm</v>
      </c>
      <c r="G174" s="2" t="s">
        <v>376</v>
      </c>
      <c r="H174" t="str">
        <f t="shared" si="15"/>
        <v>Brighton</v>
      </c>
      <c r="I174" t="str">
        <f t="shared" si="14"/>
        <v>Sheffield United</v>
      </c>
    </row>
    <row r="175" spans="1:9" x14ac:dyDescent="0.25">
      <c r="A175">
        <v>2019</v>
      </c>
      <c r="B175">
        <v>12</v>
      </c>
      <c r="C175" t="str">
        <f t="shared" si="13"/>
        <v>21</v>
      </c>
      <c r="D175" t="s">
        <v>162</v>
      </c>
      <c r="E175" s="2">
        <f t="shared" si="10"/>
        <v>43820</v>
      </c>
      <c r="F175" s="2" t="str">
        <f t="shared" si="11"/>
        <v xml:space="preserve"> 3pm</v>
      </c>
      <c r="G175" s="2" t="s">
        <v>376</v>
      </c>
      <c r="H175" t="str">
        <f t="shared" si="15"/>
        <v>Everton</v>
      </c>
      <c r="I175" t="str">
        <f t="shared" si="14"/>
        <v>Arsenal</v>
      </c>
    </row>
    <row r="176" spans="1:9" x14ac:dyDescent="0.25">
      <c r="A176">
        <v>2019</v>
      </c>
      <c r="B176">
        <v>12</v>
      </c>
      <c r="C176" t="str">
        <f t="shared" si="13"/>
        <v>21</v>
      </c>
      <c r="D176" t="s">
        <v>163</v>
      </c>
      <c r="E176" s="2">
        <f t="shared" si="10"/>
        <v>43820</v>
      </c>
      <c r="F176" s="2" t="str">
        <f t="shared" si="11"/>
        <v xml:space="preserve"> 3pm</v>
      </c>
      <c r="G176" s="2" t="s">
        <v>376</v>
      </c>
      <c r="H176" t="str">
        <f t="shared" si="15"/>
        <v>Manchester City</v>
      </c>
      <c r="I176" t="str">
        <f t="shared" si="14"/>
        <v>Leicester City</v>
      </c>
    </row>
    <row r="177" spans="1:9" x14ac:dyDescent="0.25">
      <c r="A177">
        <v>2019</v>
      </c>
      <c r="B177">
        <v>12</v>
      </c>
      <c r="C177" t="str">
        <f t="shared" si="13"/>
        <v>21</v>
      </c>
      <c r="D177" t="s">
        <v>164</v>
      </c>
      <c r="E177" s="2">
        <f t="shared" si="10"/>
        <v>43820</v>
      </c>
      <c r="F177" s="2" t="str">
        <f t="shared" si="11"/>
        <v xml:space="preserve"> 3pm</v>
      </c>
      <c r="G177" s="2" t="s">
        <v>376</v>
      </c>
      <c r="H177" t="str">
        <f t="shared" si="15"/>
        <v>Newcastle United</v>
      </c>
      <c r="I177" t="str">
        <f t="shared" si="14"/>
        <v>Crystal Palace</v>
      </c>
    </row>
    <row r="178" spans="1:9" x14ac:dyDescent="0.25">
      <c r="A178">
        <v>2019</v>
      </c>
      <c r="B178">
        <v>12</v>
      </c>
      <c r="C178" t="str">
        <f t="shared" si="13"/>
        <v>21</v>
      </c>
      <c r="D178" t="s">
        <v>165</v>
      </c>
      <c r="E178" s="2">
        <f t="shared" si="10"/>
        <v>43820</v>
      </c>
      <c r="F178" s="2" t="str">
        <f t="shared" si="11"/>
        <v xml:space="preserve"> 3pm</v>
      </c>
      <c r="G178" s="2" t="s">
        <v>376</v>
      </c>
      <c r="H178" t="str">
        <f t="shared" si="15"/>
        <v>Norwich City</v>
      </c>
      <c r="I178" t="str">
        <f t="shared" si="14"/>
        <v>Wolverhampton</v>
      </c>
    </row>
    <row r="179" spans="1:9" x14ac:dyDescent="0.25">
      <c r="A179">
        <v>2019</v>
      </c>
      <c r="B179">
        <v>12</v>
      </c>
      <c r="C179" t="str">
        <f t="shared" si="13"/>
        <v>21</v>
      </c>
      <c r="D179" t="s">
        <v>166</v>
      </c>
      <c r="E179" s="2">
        <f t="shared" si="10"/>
        <v>43820</v>
      </c>
      <c r="F179" s="2" t="str">
        <f t="shared" si="11"/>
        <v xml:space="preserve"> 3pm</v>
      </c>
      <c r="G179" s="2" t="s">
        <v>376</v>
      </c>
      <c r="H179" t="str">
        <f t="shared" si="15"/>
        <v>Tottenham Hotspur</v>
      </c>
      <c r="I179" t="str">
        <f t="shared" si="14"/>
        <v>Chelsea</v>
      </c>
    </row>
    <row r="180" spans="1:9" x14ac:dyDescent="0.25">
      <c r="A180">
        <v>2019</v>
      </c>
      <c r="B180">
        <v>12</v>
      </c>
      <c r="C180" t="str">
        <f t="shared" si="13"/>
        <v>21</v>
      </c>
      <c r="D180" t="s">
        <v>167</v>
      </c>
      <c r="E180" s="2">
        <f t="shared" si="10"/>
        <v>43820</v>
      </c>
      <c r="F180" s="2" t="str">
        <f t="shared" si="11"/>
        <v xml:space="preserve"> 3pm</v>
      </c>
      <c r="G180" s="2" t="s">
        <v>376</v>
      </c>
      <c r="H180" t="str">
        <f t="shared" si="15"/>
        <v>Watford</v>
      </c>
      <c r="I180" t="str">
        <f t="shared" si="14"/>
        <v>Manchester United</v>
      </c>
    </row>
    <row r="181" spans="1:9" x14ac:dyDescent="0.25">
      <c r="A181">
        <v>2019</v>
      </c>
      <c r="B181">
        <v>12</v>
      </c>
      <c r="C181" t="str">
        <f t="shared" si="13"/>
        <v>21</v>
      </c>
      <c r="D181" t="s">
        <v>168</v>
      </c>
      <c r="E181" s="2">
        <f t="shared" si="10"/>
        <v>43820</v>
      </c>
      <c r="F181" s="2" t="str">
        <f t="shared" si="11"/>
        <v xml:space="preserve"> 3pm</v>
      </c>
      <c r="G181" s="2" t="s">
        <v>376</v>
      </c>
      <c r="H181" t="str">
        <f t="shared" si="15"/>
        <v>West Ham United</v>
      </c>
      <c r="I181" t="str">
        <f t="shared" si="14"/>
        <v>Liverpool</v>
      </c>
    </row>
    <row r="182" spans="1:9" x14ac:dyDescent="0.25">
      <c r="A182">
        <v>2019</v>
      </c>
      <c r="B182">
        <v>12</v>
      </c>
      <c r="C182" t="str">
        <f t="shared" si="13"/>
        <v>26</v>
      </c>
      <c r="D182" t="s">
        <v>169</v>
      </c>
      <c r="E182" s="2">
        <f t="shared" si="10"/>
        <v>43825</v>
      </c>
      <c r="F182" s="2" t="str">
        <f t="shared" si="11"/>
        <v xml:space="preserve"> 3pm</v>
      </c>
      <c r="G182" s="2" t="s">
        <v>376</v>
      </c>
      <c r="H182" t="str">
        <f t="shared" si="15"/>
        <v>Bournemouth</v>
      </c>
      <c r="I182" t="str">
        <f t="shared" si="14"/>
        <v>Arsenal</v>
      </c>
    </row>
    <row r="183" spans="1:9" x14ac:dyDescent="0.25">
      <c r="A183">
        <v>2019</v>
      </c>
      <c r="B183">
        <v>12</v>
      </c>
      <c r="C183" t="str">
        <f t="shared" si="13"/>
        <v>26</v>
      </c>
      <c r="D183" t="s">
        <v>170</v>
      </c>
      <c r="E183" s="2">
        <f t="shared" si="10"/>
        <v>43825</v>
      </c>
      <c r="F183" s="2" t="str">
        <f t="shared" si="11"/>
        <v xml:space="preserve"> 3pm</v>
      </c>
      <c r="G183" s="2" t="s">
        <v>376</v>
      </c>
      <c r="H183" t="str">
        <f t="shared" si="15"/>
        <v>Aston Villa</v>
      </c>
      <c r="I183" t="str">
        <f t="shared" si="14"/>
        <v>Norwich City</v>
      </c>
    </row>
    <row r="184" spans="1:9" x14ac:dyDescent="0.25">
      <c r="A184">
        <v>2019</v>
      </c>
      <c r="B184">
        <v>12</v>
      </c>
      <c r="C184" t="str">
        <f t="shared" si="13"/>
        <v>26</v>
      </c>
      <c r="D184" t="s">
        <v>171</v>
      </c>
      <c r="E184" s="2">
        <f t="shared" si="10"/>
        <v>43825</v>
      </c>
      <c r="F184" s="2" t="str">
        <f t="shared" si="11"/>
        <v xml:space="preserve"> 3pm</v>
      </c>
      <c r="G184" s="2" t="s">
        <v>376</v>
      </c>
      <c r="H184" t="str">
        <f t="shared" si="15"/>
        <v>Chelsea</v>
      </c>
      <c r="I184" t="str">
        <f t="shared" si="14"/>
        <v>Southampton</v>
      </c>
    </row>
    <row r="185" spans="1:9" x14ac:dyDescent="0.25">
      <c r="A185">
        <v>2019</v>
      </c>
      <c r="B185">
        <v>12</v>
      </c>
      <c r="C185" t="str">
        <f t="shared" si="13"/>
        <v>26</v>
      </c>
      <c r="D185" t="s">
        <v>172</v>
      </c>
      <c r="E185" s="2">
        <f t="shared" si="10"/>
        <v>43825</v>
      </c>
      <c r="F185" s="2" t="str">
        <f t="shared" si="11"/>
        <v xml:space="preserve"> 3pm</v>
      </c>
      <c r="G185" s="2" t="s">
        <v>376</v>
      </c>
      <c r="H185" t="str">
        <f t="shared" si="15"/>
        <v>Crystal Palace</v>
      </c>
      <c r="I185" t="str">
        <f t="shared" si="14"/>
        <v>West Ham United</v>
      </c>
    </row>
    <row r="186" spans="1:9" x14ac:dyDescent="0.25">
      <c r="A186">
        <v>2019</v>
      </c>
      <c r="B186">
        <v>12</v>
      </c>
      <c r="C186" t="str">
        <f t="shared" si="13"/>
        <v>26</v>
      </c>
      <c r="D186" t="s">
        <v>173</v>
      </c>
      <c r="E186" s="2">
        <f t="shared" si="10"/>
        <v>43825</v>
      </c>
      <c r="F186" s="2" t="str">
        <f t="shared" si="11"/>
        <v xml:space="preserve"> 3pm</v>
      </c>
      <c r="G186" s="2" t="s">
        <v>376</v>
      </c>
      <c r="H186" t="str">
        <f t="shared" si="15"/>
        <v>Everton</v>
      </c>
      <c r="I186" t="str">
        <f t="shared" si="14"/>
        <v>Burnley</v>
      </c>
    </row>
    <row r="187" spans="1:9" x14ac:dyDescent="0.25">
      <c r="A187">
        <v>2019</v>
      </c>
      <c r="B187">
        <v>12</v>
      </c>
      <c r="C187" t="str">
        <f t="shared" si="13"/>
        <v>26</v>
      </c>
      <c r="D187" t="s">
        <v>174</v>
      </c>
      <c r="E187" s="2">
        <f t="shared" si="10"/>
        <v>43825</v>
      </c>
      <c r="F187" s="2" t="str">
        <f t="shared" si="11"/>
        <v xml:space="preserve"> 3pm</v>
      </c>
      <c r="G187" s="2" t="s">
        <v>376</v>
      </c>
      <c r="H187" t="str">
        <f t="shared" si="15"/>
        <v>Leicester City</v>
      </c>
      <c r="I187" t="str">
        <f t="shared" si="14"/>
        <v>Liverpool</v>
      </c>
    </row>
    <row r="188" spans="1:9" x14ac:dyDescent="0.25">
      <c r="A188">
        <v>2019</v>
      </c>
      <c r="B188">
        <v>12</v>
      </c>
      <c r="C188" t="str">
        <f t="shared" si="13"/>
        <v>26</v>
      </c>
      <c r="D188" t="s">
        <v>175</v>
      </c>
      <c r="E188" s="2">
        <f t="shared" si="10"/>
        <v>43825</v>
      </c>
      <c r="F188" s="2" t="str">
        <f t="shared" si="11"/>
        <v xml:space="preserve"> 3pm</v>
      </c>
      <c r="G188" s="2" t="s">
        <v>376</v>
      </c>
      <c r="H188" t="str">
        <f t="shared" si="15"/>
        <v>Manchester United</v>
      </c>
      <c r="I188" t="str">
        <f t="shared" si="14"/>
        <v>Newcastle United</v>
      </c>
    </row>
    <row r="189" spans="1:9" x14ac:dyDescent="0.25">
      <c r="A189">
        <v>2019</v>
      </c>
      <c r="B189">
        <v>12</v>
      </c>
      <c r="C189" t="str">
        <f t="shared" si="13"/>
        <v>26</v>
      </c>
      <c r="D189" t="s">
        <v>176</v>
      </c>
      <c r="E189" s="2">
        <f t="shared" si="10"/>
        <v>43825</v>
      </c>
      <c r="F189" s="2" t="str">
        <f t="shared" si="11"/>
        <v xml:space="preserve"> 3pm</v>
      </c>
      <c r="G189" s="2" t="s">
        <v>376</v>
      </c>
      <c r="H189" t="str">
        <f t="shared" si="15"/>
        <v>Sheffield United</v>
      </c>
      <c r="I189" t="str">
        <f t="shared" si="14"/>
        <v>Watford</v>
      </c>
    </row>
    <row r="190" spans="1:9" x14ac:dyDescent="0.25">
      <c r="A190">
        <v>2019</v>
      </c>
      <c r="B190">
        <v>12</v>
      </c>
      <c r="C190" t="str">
        <f t="shared" si="13"/>
        <v>26</v>
      </c>
      <c r="D190" t="s">
        <v>177</v>
      </c>
      <c r="E190" s="2">
        <f t="shared" si="10"/>
        <v>43825</v>
      </c>
      <c r="F190" s="2" t="str">
        <f t="shared" si="11"/>
        <v xml:space="preserve"> 3pm</v>
      </c>
      <c r="G190" s="2" t="s">
        <v>376</v>
      </c>
      <c r="H190" t="str">
        <f t="shared" si="15"/>
        <v>Tottenham Hotspur</v>
      </c>
      <c r="I190" t="str">
        <f t="shared" si="14"/>
        <v>Brighton</v>
      </c>
    </row>
    <row r="191" spans="1:9" x14ac:dyDescent="0.25">
      <c r="A191">
        <v>2019</v>
      </c>
      <c r="B191">
        <v>12</v>
      </c>
      <c r="C191" t="str">
        <f t="shared" si="13"/>
        <v>26</v>
      </c>
      <c r="D191" t="s">
        <v>178</v>
      </c>
      <c r="E191" s="2">
        <f t="shared" si="10"/>
        <v>43825</v>
      </c>
      <c r="F191" s="2" t="str">
        <f t="shared" si="11"/>
        <v xml:space="preserve"> 3pm</v>
      </c>
      <c r="G191" s="2" t="s">
        <v>376</v>
      </c>
      <c r="H191" t="str">
        <f t="shared" si="15"/>
        <v>Wolves</v>
      </c>
      <c r="I191" t="str">
        <f t="shared" si="14"/>
        <v>Manchester City</v>
      </c>
    </row>
    <row r="192" spans="1:9" x14ac:dyDescent="0.25">
      <c r="A192">
        <v>2019</v>
      </c>
      <c r="B192">
        <v>12</v>
      </c>
      <c r="C192" t="str">
        <f t="shared" si="13"/>
        <v>28</v>
      </c>
      <c r="D192" t="s">
        <v>179</v>
      </c>
      <c r="E192" s="2">
        <f t="shared" si="10"/>
        <v>43827</v>
      </c>
      <c r="F192" s="2" t="str">
        <f t="shared" si="11"/>
        <v xml:space="preserve"> 3pm</v>
      </c>
      <c r="G192" s="2" t="s">
        <v>376</v>
      </c>
      <c r="H192" t="str">
        <f t="shared" si="15"/>
        <v>Arsenal</v>
      </c>
      <c r="I192" t="str">
        <f t="shared" si="14"/>
        <v>Chelsea</v>
      </c>
    </row>
    <row r="193" spans="1:9" x14ac:dyDescent="0.25">
      <c r="A193">
        <v>2019</v>
      </c>
      <c r="B193">
        <v>12</v>
      </c>
      <c r="C193" t="str">
        <f t="shared" si="13"/>
        <v>28</v>
      </c>
      <c r="D193" t="s">
        <v>180</v>
      </c>
      <c r="E193" s="2">
        <f t="shared" si="10"/>
        <v>43827</v>
      </c>
      <c r="F193" s="2" t="str">
        <f t="shared" si="11"/>
        <v xml:space="preserve"> 3pm</v>
      </c>
      <c r="G193" s="2" t="s">
        <v>376</v>
      </c>
      <c r="H193" t="str">
        <f t="shared" si="15"/>
        <v>Brighton</v>
      </c>
      <c r="I193" t="str">
        <f t="shared" si="14"/>
        <v>Bournemouth</v>
      </c>
    </row>
    <row r="194" spans="1:9" x14ac:dyDescent="0.25">
      <c r="A194">
        <v>2019</v>
      </c>
      <c r="B194">
        <v>12</v>
      </c>
      <c r="C194" t="str">
        <f t="shared" si="13"/>
        <v>28</v>
      </c>
      <c r="D194" t="s">
        <v>181</v>
      </c>
      <c r="E194" s="2">
        <f t="shared" si="10"/>
        <v>43827</v>
      </c>
      <c r="F194" s="2" t="str">
        <f t="shared" si="11"/>
        <v xml:space="preserve"> 3pm</v>
      </c>
      <c r="G194" s="2" t="s">
        <v>376</v>
      </c>
      <c r="H194" t="str">
        <f t="shared" si="15"/>
        <v>Burnley</v>
      </c>
      <c r="I194" t="str">
        <f t="shared" si="14"/>
        <v>Manchester United</v>
      </c>
    </row>
    <row r="195" spans="1:9" x14ac:dyDescent="0.25">
      <c r="A195">
        <v>2019</v>
      </c>
      <c r="B195">
        <v>12</v>
      </c>
      <c r="C195" t="str">
        <f t="shared" si="13"/>
        <v>28</v>
      </c>
      <c r="D195" t="s">
        <v>182</v>
      </c>
      <c r="E195" s="2">
        <f t="shared" ref="E195:E258" si="16">DATE(A195, B195, C195)</f>
        <v>43827</v>
      </c>
      <c r="F195" s="2" t="str">
        <f t="shared" ref="F195:F258" si="17">RIGHT(D195, (LEN(D195) - FIND(", ", D195)))</f>
        <v xml:space="preserve"> 3pm</v>
      </c>
      <c r="G195" s="2" t="s">
        <v>376</v>
      </c>
      <c r="H195" t="str">
        <f t="shared" si="15"/>
        <v>Liverpool</v>
      </c>
      <c r="I195" t="str">
        <f t="shared" si="14"/>
        <v>Wolves</v>
      </c>
    </row>
    <row r="196" spans="1:9" x14ac:dyDescent="0.25">
      <c r="A196">
        <v>2019</v>
      </c>
      <c r="B196">
        <v>12</v>
      </c>
      <c r="C196" t="str">
        <f t="shared" si="13"/>
        <v>28</v>
      </c>
      <c r="D196" t="s">
        <v>183</v>
      </c>
      <c r="E196" s="2">
        <f t="shared" si="16"/>
        <v>43827</v>
      </c>
      <c r="F196" s="2" t="str">
        <f t="shared" si="17"/>
        <v xml:space="preserve"> 3pm</v>
      </c>
      <c r="G196" s="2" t="s">
        <v>376</v>
      </c>
      <c r="H196" t="str">
        <f t="shared" ref="H196:H227" si="18">RIGHT(LEFT(D196,FIND(" vs ",D196,1)-1), (LEN(LEFT(D196,FIND(" vs ",D196,1)-1))-FIND(":",D196, 1) - 1))</f>
        <v>Manchester City</v>
      </c>
      <c r="I196" t="str">
        <f t="shared" si="14"/>
        <v>Sheffield United</v>
      </c>
    </row>
    <row r="197" spans="1:9" x14ac:dyDescent="0.25">
      <c r="A197">
        <v>2019</v>
      </c>
      <c r="B197">
        <v>12</v>
      </c>
      <c r="C197" t="str">
        <f t="shared" ref="C197:C260" si="19">LEFT(D197,FIND(":",D197,1)-1)</f>
        <v>28</v>
      </c>
      <c r="D197" t="s">
        <v>184</v>
      </c>
      <c r="E197" s="2">
        <f t="shared" si="16"/>
        <v>43827</v>
      </c>
      <c r="F197" s="2" t="str">
        <f t="shared" si="17"/>
        <v xml:space="preserve"> 3pm</v>
      </c>
      <c r="G197" s="2" t="s">
        <v>376</v>
      </c>
      <c r="H197" t="str">
        <f t="shared" si="18"/>
        <v>Newcastle United</v>
      </c>
      <c r="I197" t="str">
        <f t="shared" ref="I197:I260" si="20">LEFT(RIGHT(D197,LEN(D197)-FIND("vs",D197)-2),FIND(", ",RIGHT(D197,LEN(D197)-FIND("vs",D197)-3)))</f>
        <v>Everton</v>
      </c>
    </row>
    <row r="198" spans="1:9" x14ac:dyDescent="0.25">
      <c r="A198">
        <v>2019</v>
      </c>
      <c r="B198">
        <v>12</v>
      </c>
      <c r="C198" t="str">
        <f t="shared" si="19"/>
        <v>28</v>
      </c>
      <c r="D198" t="s">
        <v>185</v>
      </c>
      <c r="E198" s="2">
        <f t="shared" si="16"/>
        <v>43827</v>
      </c>
      <c r="F198" s="2" t="str">
        <f t="shared" si="17"/>
        <v xml:space="preserve"> 3pm</v>
      </c>
      <c r="G198" s="2" t="s">
        <v>376</v>
      </c>
      <c r="H198" t="str">
        <f t="shared" si="18"/>
        <v>Norwich City</v>
      </c>
      <c r="I198" t="str">
        <f t="shared" si="20"/>
        <v>Tottenham Hotspur</v>
      </c>
    </row>
    <row r="199" spans="1:9" x14ac:dyDescent="0.25">
      <c r="A199">
        <v>2019</v>
      </c>
      <c r="B199">
        <v>12</v>
      </c>
      <c r="C199" t="str">
        <f t="shared" si="19"/>
        <v>28</v>
      </c>
      <c r="D199" t="s">
        <v>186</v>
      </c>
      <c r="E199" s="2">
        <f t="shared" si="16"/>
        <v>43827</v>
      </c>
      <c r="F199" s="2" t="str">
        <f t="shared" si="17"/>
        <v xml:space="preserve"> 3pm</v>
      </c>
      <c r="G199" s="2" t="s">
        <v>376</v>
      </c>
      <c r="H199" t="str">
        <f t="shared" si="18"/>
        <v>Southampton</v>
      </c>
      <c r="I199" t="str">
        <f t="shared" si="20"/>
        <v>Crystal Palace</v>
      </c>
    </row>
    <row r="200" spans="1:9" x14ac:dyDescent="0.25">
      <c r="A200">
        <v>2019</v>
      </c>
      <c r="B200">
        <v>12</v>
      </c>
      <c r="C200" t="str">
        <f t="shared" si="19"/>
        <v>28</v>
      </c>
      <c r="D200" t="s">
        <v>187</v>
      </c>
      <c r="E200" s="2">
        <f t="shared" si="16"/>
        <v>43827</v>
      </c>
      <c r="F200" s="2" t="str">
        <f t="shared" si="17"/>
        <v xml:space="preserve"> 3pm</v>
      </c>
      <c r="G200" s="2" t="s">
        <v>376</v>
      </c>
      <c r="H200" t="str">
        <f t="shared" si="18"/>
        <v>Watford</v>
      </c>
      <c r="I200" t="str">
        <f t="shared" si="20"/>
        <v>Aston Villa</v>
      </c>
    </row>
    <row r="201" spans="1:9" x14ac:dyDescent="0.25">
      <c r="A201">
        <v>2019</v>
      </c>
      <c r="B201">
        <v>12</v>
      </c>
      <c r="C201" t="str">
        <f t="shared" si="19"/>
        <v>28</v>
      </c>
      <c r="D201" t="s">
        <v>188</v>
      </c>
      <c r="E201" s="2">
        <f t="shared" si="16"/>
        <v>43827</v>
      </c>
      <c r="F201" s="2" t="str">
        <f t="shared" si="17"/>
        <v xml:space="preserve"> 3pm</v>
      </c>
      <c r="G201" s="2" t="s">
        <v>376</v>
      </c>
      <c r="H201" t="str">
        <f t="shared" si="18"/>
        <v>West Ham United</v>
      </c>
      <c r="I201" t="str">
        <f t="shared" si="20"/>
        <v>Leicester City</v>
      </c>
    </row>
    <row r="202" spans="1:9" x14ac:dyDescent="0.25">
      <c r="A202">
        <v>2020</v>
      </c>
      <c r="B202">
        <v>1</v>
      </c>
      <c r="C202" t="str">
        <f t="shared" si="19"/>
        <v>1</v>
      </c>
      <c r="D202" t="s">
        <v>189</v>
      </c>
      <c r="E202" s="2">
        <f t="shared" si="16"/>
        <v>43831</v>
      </c>
      <c r="F202" s="2" t="str">
        <f t="shared" si="17"/>
        <v xml:space="preserve"> 3pm</v>
      </c>
      <c r="G202" s="2" t="s">
        <v>376</v>
      </c>
      <c r="H202" t="str">
        <f t="shared" si="18"/>
        <v>Arsenal</v>
      </c>
      <c r="I202" t="str">
        <f t="shared" si="20"/>
        <v>Manchester United</v>
      </c>
    </row>
    <row r="203" spans="1:9" x14ac:dyDescent="0.25">
      <c r="A203">
        <v>2020</v>
      </c>
      <c r="B203">
        <v>1</v>
      </c>
      <c r="C203" t="str">
        <f t="shared" si="19"/>
        <v>1</v>
      </c>
      <c r="D203" t="s">
        <v>190</v>
      </c>
      <c r="E203" s="2">
        <f t="shared" si="16"/>
        <v>43831</v>
      </c>
      <c r="F203" s="2" t="str">
        <f t="shared" si="17"/>
        <v xml:space="preserve"> 3pm</v>
      </c>
      <c r="G203" s="2" t="s">
        <v>376</v>
      </c>
      <c r="H203" t="str">
        <f t="shared" si="18"/>
        <v>Brighton</v>
      </c>
      <c r="I203" t="str">
        <f t="shared" si="20"/>
        <v>Chelsea</v>
      </c>
    </row>
    <row r="204" spans="1:9" x14ac:dyDescent="0.25">
      <c r="A204">
        <v>2020</v>
      </c>
      <c r="B204">
        <v>1</v>
      </c>
      <c r="C204" t="str">
        <f t="shared" si="19"/>
        <v>1</v>
      </c>
      <c r="D204" t="s">
        <v>191</v>
      </c>
      <c r="E204" s="2">
        <f t="shared" si="16"/>
        <v>43831</v>
      </c>
      <c r="F204" s="2" t="str">
        <f t="shared" si="17"/>
        <v xml:space="preserve"> 3pm</v>
      </c>
      <c r="G204" s="2" t="s">
        <v>376</v>
      </c>
      <c r="H204" t="str">
        <f t="shared" si="18"/>
        <v>Burnley</v>
      </c>
      <c r="I204" t="str">
        <f t="shared" si="20"/>
        <v>Aston Villa</v>
      </c>
    </row>
    <row r="205" spans="1:9" x14ac:dyDescent="0.25">
      <c r="A205">
        <v>2020</v>
      </c>
      <c r="B205">
        <v>1</v>
      </c>
      <c r="C205" t="str">
        <f t="shared" si="19"/>
        <v>1</v>
      </c>
      <c r="D205" t="s">
        <v>192</v>
      </c>
      <c r="E205" s="2">
        <f t="shared" si="16"/>
        <v>43831</v>
      </c>
      <c r="F205" s="2" t="str">
        <f t="shared" si="17"/>
        <v xml:space="preserve"> 3pm</v>
      </c>
      <c r="G205" s="2" t="s">
        <v>376</v>
      </c>
      <c r="H205" t="str">
        <f t="shared" si="18"/>
        <v>Liverpool</v>
      </c>
      <c r="I205" t="str">
        <f t="shared" si="20"/>
        <v>Sheffield United</v>
      </c>
    </row>
    <row r="206" spans="1:9" x14ac:dyDescent="0.25">
      <c r="A206">
        <v>2020</v>
      </c>
      <c r="B206">
        <v>1</v>
      </c>
      <c r="C206" t="str">
        <f t="shared" si="19"/>
        <v>1</v>
      </c>
      <c r="D206" t="s">
        <v>193</v>
      </c>
      <c r="E206" s="2">
        <f t="shared" si="16"/>
        <v>43831</v>
      </c>
      <c r="F206" s="2" t="str">
        <f t="shared" si="17"/>
        <v xml:space="preserve"> 3pm</v>
      </c>
      <c r="G206" s="2" t="s">
        <v>376</v>
      </c>
      <c r="H206" t="str">
        <f t="shared" si="18"/>
        <v>Manchester City</v>
      </c>
      <c r="I206" t="str">
        <f t="shared" si="20"/>
        <v>Everton</v>
      </c>
    </row>
    <row r="207" spans="1:9" x14ac:dyDescent="0.25">
      <c r="A207">
        <v>2020</v>
      </c>
      <c r="B207">
        <v>1</v>
      </c>
      <c r="C207" t="str">
        <f t="shared" si="19"/>
        <v>1</v>
      </c>
      <c r="D207" t="s">
        <v>371</v>
      </c>
      <c r="E207" s="2">
        <f t="shared" si="16"/>
        <v>43831</v>
      </c>
      <c r="F207" s="2" t="str">
        <f t="shared" si="17"/>
        <v xml:space="preserve"> 3pm</v>
      </c>
      <c r="G207" s="2" t="s">
        <v>376</v>
      </c>
      <c r="H207" t="str">
        <f t="shared" si="18"/>
        <v>Newcastle United</v>
      </c>
      <c r="I207" t="str">
        <f t="shared" si="20"/>
        <v>Leicester City</v>
      </c>
    </row>
    <row r="208" spans="1:9" x14ac:dyDescent="0.25">
      <c r="A208">
        <v>2020</v>
      </c>
      <c r="B208">
        <v>1</v>
      </c>
      <c r="C208" t="str">
        <f t="shared" si="19"/>
        <v>1</v>
      </c>
      <c r="D208" t="s">
        <v>194</v>
      </c>
      <c r="E208" s="2">
        <f t="shared" si="16"/>
        <v>43831</v>
      </c>
      <c r="F208" s="2" t="str">
        <f t="shared" si="17"/>
        <v xml:space="preserve"> 3pm</v>
      </c>
      <c r="G208" s="2" t="s">
        <v>376</v>
      </c>
      <c r="H208" t="str">
        <f t="shared" si="18"/>
        <v>Norwich City</v>
      </c>
      <c r="I208" t="str">
        <f t="shared" si="20"/>
        <v>Crystal Palace</v>
      </c>
    </row>
    <row r="209" spans="1:9" x14ac:dyDescent="0.25">
      <c r="A209">
        <v>2020</v>
      </c>
      <c r="B209">
        <v>1</v>
      </c>
      <c r="C209" t="str">
        <f t="shared" si="19"/>
        <v>1</v>
      </c>
      <c r="D209" t="s">
        <v>195</v>
      </c>
      <c r="E209" s="2">
        <f t="shared" si="16"/>
        <v>43831</v>
      </c>
      <c r="F209" s="2" t="str">
        <f t="shared" si="17"/>
        <v xml:space="preserve"> 3pm</v>
      </c>
      <c r="G209" s="2" t="s">
        <v>376</v>
      </c>
      <c r="H209" t="str">
        <f t="shared" si="18"/>
        <v>Southampton</v>
      </c>
      <c r="I209" t="str">
        <f t="shared" si="20"/>
        <v>Tottenham Hotspur</v>
      </c>
    </row>
    <row r="210" spans="1:9" x14ac:dyDescent="0.25">
      <c r="A210">
        <v>2020</v>
      </c>
      <c r="B210">
        <v>1</v>
      </c>
      <c r="C210" t="str">
        <f t="shared" si="19"/>
        <v>1</v>
      </c>
      <c r="D210" t="s">
        <v>196</v>
      </c>
      <c r="E210" s="2">
        <f t="shared" si="16"/>
        <v>43831</v>
      </c>
      <c r="F210" s="2" t="str">
        <f t="shared" si="17"/>
        <v xml:space="preserve"> 3pm</v>
      </c>
      <c r="G210" s="2" t="s">
        <v>376</v>
      </c>
      <c r="H210" t="str">
        <f t="shared" si="18"/>
        <v>Watford</v>
      </c>
      <c r="I210" t="str">
        <f t="shared" si="20"/>
        <v>Wolves</v>
      </c>
    </row>
    <row r="211" spans="1:9" x14ac:dyDescent="0.25">
      <c r="A211">
        <v>2020</v>
      </c>
      <c r="B211">
        <v>1</v>
      </c>
      <c r="C211" t="str">
        <f t="shared" si="19"/>
        <v>1</v>
      </c>
      <c r="D211" t="s">
        <v>197</v>
      </c>
      <c r="E211" s="2">
        <f t="shared" si="16"/>
        <v>43831</v>
      </c>
      <c r="F211" s="2" t="str">
        <f t="shared" si="17"/>
        <v xml:space="preserve"> 3pm</v>
      </c>
      <c r="G211" s="2" t="s">
        <v>376</v>
      </c>
      <c r="H211" t="str">
        <f t="shared" si="18"/>
        <v>West Ham United</v>
      </c>
      <c r="I211" t="str">
        <f t="shared" si="20"/>
        <v>Bournemouth</v>
      </c>
    </row>
    <row r="212" spans="1:9" x14ac:dyDescent="0.25">
      <c r="A212">
        <v>2020</v>
      </c>
      <c r="B212">
        <v>1</v>
      </c>
      <c r="C212" t="str">
        <f t="shared" si="19"/>
        <v>11</v>
      </c>
      <c r="D212" t="s">
        <v>198</v>
      </c>
      <c r="E212" s="2">
        <f t="shared" si="16"/>
        <v>43841</v>
      </c>
      <c r="F212" s="2" t="str">
        <f t="shared" si="17"/>
        <v xml:space="preserve"> 3pm</v>
      </c>
      <c r="G212" s="2" t="s">
        <v>376</v>
      </c>
      <c r="H212" t="str">
        <f t="shared" si="18"/>
        <v>Bournemouth</v>
      </c>
      <c r="I212" t="str">
        <f t="shared" si="20"/>
        <v>Watford</v>
      </c>
    </row>
    <row r="213" spans="1:9" x14ac:dyDescent="0.25">
      <c r="A213">
        <v>2020</v>
      </c>
      <c r="B213">
        <v>1</v>
      </c>
      <c r="C213" t="str">
        <f t="shared" si="19"/>
        <v>11</v>
      </c>
      <c r="D213" t="s">
        <v>199</v>
      </c>
      <c r="E213" s="2">
        <f t="shared" si="16"/>
        <v>43841</v>
      </c>
      <c r="F213" s="2" t="str">
        <f t="shared" si="17"/>
        <v xml:space="preserve"> 3pm</v>
      </c>
      <c r="G213" s="2" t="s">
        <v>376</v>
      </c>
      <c r="H213" t="str">
        <f t="shared" si="18"/>
        <v>Aston Villa</v>
      </c>
      <c r="I213" t="str">
        <f t="shared" si="20"/>
        <v>Manchester City</v>
      </c>
    </row>
    <row r="214" spans="1:9" x14ac:dyDescent="0.25">
      <c r="A214">
        <v>2020</v>
      </c>
      <c r="B214">
        <v>1</v>
      </c>
      <c r="C214" t="str">
        <f t="shared" si="19"/>
        <v>11</v>
      </c>
      <c r="D214" t="s">
        <v>200</v>
      </c>
      <c r="E214" s="2">
        <f t="shared" si="16"/>
        <v>43841</v>
      </c>
      <c r="F214" s="2" t="str">
        <f t="shared" si="17"/>
        <v xml:space="preserve"> 3pm</v>
      </c>
      <c r="G214" s="2" t="s">
        <v>376</v>
      </c>
      <c r="H214" t="str">
        <f t="shared" si="18"/>
        <v>Chelsea</v>
      </c>
      <c r="I214" t="str">
        <f t="shared" si="20"/>
        <v>Burnley</v>
      </c>
    </row>
    <row r="215" spans="1:9" x14ac:dyDescent="0.25">
      <c r="A215">
        <v>2020</v>
      </c>
      <c r="B215">
        <v>1</v>
      </c>
      <c r="C215" t="str">
        <f t="shared" si="19"/>
        <v>11</v>
      </c>
      <c r="D215" t="s">
        <v>201</v>
      </c>
      <c r="E215" s="2">
        <f t="shared" si="16"/>
        <v>43841</v>
      </c>
      <c r="F215" s="2" t="str">
        <f t="shared" si="17"/>
        <v xml:space="preserve"> 3pm</v>
      </c>
      <c r="G215" s="2" t="s">
        <v>376</v>
      </c>
      <c r="H215" t="str">
        <f t="shared" si="18"/>
        <v>Crystal Palace</v>
      </c>
      <c r="I215" t="str">
        <f t="shared" si="20"/>
        <v>Arsenal</v>
      </c>
    </row>
    <row r="216" spans="1:9" x14ac:dyDescent="0.25">
      <c r="A216">
        <v>2020</v>
      </c>
      <c r="B216">
        <v>1</v>
      </c>
      <c r="C216" t="str">
        <f t="shared" si="19"/>
        <v>11</v>
      </c>
      <c r="D216" t="s">
        <v>202</v>
      </c>
      <c r="E216" s="2">
        <f t="shared" si="16"/>
        <v>43841</v>
      </c>
      <c r="F216" s="2" t="str">
        <f t="shared" si="17"/>
        <v xml:space="preserve"> 3pm</v>
      </c>
      <c r="G216" s="2" t="s">
        <v>376</v>
      </c>
      <c r="H216" t="str">
        <f t="shared" si="18"/>
        <v>Everton</v>
      </c>
      <c r="I216" t="str">
        <f t="shared" si="20"/>
        <v>Brighton</v>
      </c>
    </row>
    <row r="217" spans="1:9" x14ac:dyDescent="0.25">
      <c r="A217">
        <v>2020</v>
      </c>
      <c r="B217">
        <v>1</v>
      </c>
      <c r="C217" t="str">
        <f t="shared" si="19"/>
        <v>11</v>
      </c>
      <c r="D217" t="s">
        <v>203</v>
      </c>
      <c r="E217" s="2">
        <f t="shared" si="16"/>
        <v>43841</v>
      </c>
      <c r="F217" s="2" t="str">
        <f t="shared" si="17"/>
        <v xml:space="preserve"> 3pm</v>
      </c>
      <c r="G217" s="2" t="s">
        <v>376</v>
      </c>
      <c r="H217" t="str">
        <f t="shared" si="18"/>
        <v>Leicester City</v>
      </c>
      <c r="I217" t="str">
        <f t="shared" si="20"/>
        <v>Southampton</v>
      </c>
    </row>
    <row r="218" spans="1:9" x14ac:dyDescent="0.25">
      <c r="A218">
        <v>2020</v>
      </c>
      <c r="B218">
        <v>1</v>
      </c>
      <c r="C218" t="str">
        <f t="shared" si="19"/>
        <v>11</v>
      </c>
      <c r="D218" t="s">
        <v>204</v>
      </c>
      <c r="E218" s="2">
        <f t="shared" si="16"/>
        <v>43841</v>
      </c>
      <c r="F218" s="2" t="str">
        <f t="shared" si="17"/>
        <v xml:space="preserve"> 3pm</v>
      </c>
      <c r="G218" s="2" t="s">
        <v>376</v>
      </c>
      <c r="H218" t="str">
        <f t="shared" si="18"/>
        <v>Manchester United</v>
      </c>
      <c r="I218" t="str">
        <f t="shared" si="20"/>
        <v>Norwich City</v>
      </c>
    </row>
    <row r="219" spans="1:9" x14ac:dyDescent="0.25">
      <c r="A219">
        <v>2020</v>
      </c>
      <c r="B219">
        <v>1</v>
      </c>
      <c r="C219" t="str">
        <f t="shared" si="19"/>
        <v>11</v>
      </c>
      <c r="D219" t="s">
        <v>205</v>
      </c>
      <c r="E219" s="2">
        <f t="shared" si="16"/>
        <v>43841</v>
      </c>
      <c r="F219" s="2" t="str">
        <f t="shared" si="17"/>
        <v xml:space="preserve"> 3pm</v>
      </c>
      <c r="G219" s="2" t="s">
        <v>376</v>
      </c>
      <c r="H219" t="str">
        <f t="shared" si="18"/>
        <v>Sheffield United</v>
      </c>
      <c r="I219" t="str">
        <f t="shared" si="20"/>
        <v>West Ham United</v>
      </c>
    </row>
    <row r="220" spans="1:9" x14ac:dyDescent="0.25">
      <c r="A220">
        <v>2020</v>
      </c>
      <c r="B220">
        <v>1</v>
      </c>
      <c r="C220" t="str">
        <f t="shared" si="19"/>
        <v>11</v>
      </c>
      <c r="D220" t="s">
        <v>206</v>
      </c>
      <c r="E220" s="2">
        <f t="shared" si="16"/>
        <v>43841</v>
      </c>
      <c r="F220" s="2" t="str">
        <f t="shared" si="17"/>
        <v xml:space="preserve"> 3pm</v>
      </c>
      <c r="G220" s="2" t="s">
        <v>376</v>
      </c>
      <c r="H220" t="str">
        <f t="shared" si="18"/>
        <v>Tottenham Hotspur</v>
      </c>
      <c r="I220" t="str">
        <f t="shared" si="20"/>
        <v>Liverpool</v>
      </c>
    </row>
    <row r="221" spans="1:9" x14ac:dyDescent="0.25">
      <c r="A221">
        <v>2020</v>
      </c>
      <c r="B221">
        <v>1</v>
      </c>
      <c r="C221" t="str">
        <f t="shared" si="19"/>
        <v>11</v>
      </c>
      <c r="D221" t="s">
        <v>207</v>
      </c>
      <c r="E221" s="2">
        <f t="shared" si="16"/>
        <v>43841</v>
      </c>
      <c r="F221" s="2" t="str">
        <f t="shared" si="17"/>
        <v xml:space="preserve"> 3pm</v>
      </c>
      <c r="G221" s="2" t="s">
        <v>376</v>
      </c>
      <c r="H221" t="str">
        <f t="shared" si="18"/>
        <v>Wolves</v>
      </c>
      <c r="I221" t="str">
        <f t="shared" si="20"/>
        <v>Newcastle United</v>
      </c>
    </row>
    <row r="222" spans="1:9" x14ac:dyDescent="0.25">
      <c r="A222">
        <v>2020</v>
      </c>
      <c r="B222">
        <v>1</v>
      </c>
      <c r="C222" t="str">
        <f t="shared" si="19"/>
        <v>18</v>
      </c>
      <c r="D222" t="s">
        <v>208</v>
      </c>
      <c r="E222" s="2">
        <f t="shared" si="16"/>
        <v>43848</v>
      </c>
      <c r="F222" s="2" t="str">
        <f t="shared" si="17"/>
        <v xml:space="preserve"> 3pm</v>
      </c>
      <c r="G222" s="2" t="s">
        <v>376</v>
      </c>
      <c r="H222" t="str">
        <f t="shared" si="18"/>
        <v>Arsenal</v>
      </c>
      <c r="I222" t="str">
        <f t="shared" si="20"/>
        <v>Sheffield United</v>
      </c>
    </row>
    <row r="223" spans="1:9" x14ac:dyDescent="0.25">
      <c r="A223">
        <v>2020</v>
      </c>
      <c r="B223">
        <v>1</v>
      </c>
      <c r="C223" t="str">
        <f t="shared" si="19"/>
        <v>18</v>
      </c>
      <c r="D223" t="s">
        <v>209</v>
      </c>
      <c r="E223" s="2">
        <f t="shared" si="16"/>
        <v>43848</v>
      </c>
      <c r="F223" s="2" t="str">
        <f t="shared" si="17"/>
        <v xml:space="preserve"> 3pm</v>
      </c>
      <c r="G223" s="2" t="s">
        <v>376</v>
      </c>
      <c r="H223" t="str">
        <f t="shared" si="18"/>
        <v>Brighton</v>
      </c>
      <c r="I223" t="str">
        <f t="shared" si="20"/>
        <v>Aston Villa</v>
      </c>
    </row>
    <row r="224" spans="1:9" x14ac:dyDescent="0.25">
      <c r="A224">
        <v>2020</v>
      </c>
      <c r="B224">
        <v>1</v>
      </c>
      <c r="C224" t="str">
        <f t="shared" si="19"/>
        <v>18</v>
      </c>
      <c r="D224" t="s">
        <v>210</v>
      </c>
      <c r="E224" s="2">
        <f t="shared" si="16"/>
        <v>43848</v>
      </c>
      <c r="F224" s="2" t="str">
        <f t="shared" si="17"/>
        <v xml:space="preserve"> 3pm</v>
      </c>
      <c r="G224" s="2" t="s">
        <v>376</v>
      </c>
      <c r="H224" t="str">
        <f t="shared" si="18"/>
        <v>Burnley</v>
      </c>
      <c r="I224" t="str">
        <f t="shared" si="20"/>
        <v>Leicester City</v>
      </c>
    </row>
    <row r="225" spans="1:9" x14ac:dyDescent="0.25">
      <c r="A225">
        <v>2020</v>
      </c>
      <c r="B225">
        <v>1</v>
      </c>
      <c r="C225" t="str">
        <f t="shared" si="19"/>
        <v>18</v>
      </c>
      <c r="D225" t="s">
        <v>211</v>
      </c>
      <c r="E225" s="2">
        <f t="shared" si="16"/>
        <v>43848</v>
      </c>
      <c r="F225" s="2" t="str">
        <f t="shared" si="17"/>
        <v xml:space="preserve"> 3pm</v>
      </c>
      <c r="G225" s="2" t="s">
        <v>376</v>
      </c>
      <c r="H225" t="str">
        <f t="shared" si="18"/>
        <v>Liverpool</v>
      </c>
      <c r="I225" t="str">
        <f t="shared" si="20"/>
        <v>Manchester United</v>
      </c>
    </row>
    <row r="226" spans="1:9" x14ac:dyDescent="0.25">
      <c r="A226">
        <v>2020</v>
      </c>
      <c r="B226">
        <v>1</v>
      </c>
      <c r="C226" t="str">
        <f t="shared" si="19"/>
        <v>18</v>
      </c>
      <c r="D226" t="s">
        <v>212</v>
      </c>
      <c r="E226" s="2">
        <f t="shared" si="16"/>
        <v>43848</v>
      </c>
      <c r="F226" s="2" t="str">
        <f t="shared" si="17"/>
        <v xml:space="preserve"> 3pm</v>
      </c>
      <c r="G226" s="2" t="s">
        <v>376</v>
      </c>
      <c r="H226" t="str">
        <f t="shared" si="18"/>
        <v>Manchester City</v>
      </c>
      <c r="I226" t="str">
        <f t="shared" si="20"/>
        <v>Crystal Palace</v>
      </c>
    </row>
    <row r="227" spans="1:9" x14ac:dyDescent="0.25">
      <c r="A227">
        <v>2020</v>
      </c>
      <c r="B227">
        <v>1</v>
      </c>
      <c r="C227" t="str">
        <f t="shared" si="19"/>
        <v>18</v>
      </c>
      <c r="D227" t="s">
        <v>213</v>
      </c>
      <c r="E227" s="2">
        <f t="shared" si="16"/>
        <v>43848</v>
      </c>
      <c r="F227" s="2" t="str">
        <f t="shared" si="17"/>
        <v xml:space="preserve"> 3pm</v>
      </c>
      <c r="G227" s="2" t="s">
        <v>376</v>
      </c>
      <c r="H227" t="str">
        <f t="shared" si="18"/>
        <v>Newcastle United</v>
      </c>
      <c r="I227" t="str">
        <f t="shared" si="20"/>
        <v>Chelsea</v>
      </c>
    </row>
    <row r="228" spans="1:9" x14ac:dyDescent="0.25">
      <c r="A228">
        <v>2020</v>
      </c>
      <c r="B228">
        <v>1</v>
      </c>
      <c r="C228" t="str">
        <f t="shared" si="19"/>
        <v>18</v>
      </c>
      <c r="D228" t="s">
        <v>214</v>
      </c>
      <c r="E228" s="2">
        <f t="shared" si="16"/>
        <v>43848</v>
      </c>
      <c r="F228" s="2" t="str">
        <f t="shared" si="17"/>
        <v xml:space="preserve"> 3pm</v>
      </c>
      <c r="G228" s="2" t="s">
        <v>376</v>
      </c>
      <c r="H228" t="str">
        <f t="shared" ref="H228:H258" si="21">RIGHT(LEFT(D228,FIND(" vs ",D228,1)-1), (LEN(LEFT(D228,FIND(" vs ",D228,1)-1))-FIND(":",D228, 1) - 1))</f>
        <v>Norwich City</v>
      </c>
      <c r="I228" t="str">
        <f t="shared" si="20"/>
        <v>Bournemouth</v>
      </c>
    </row>
    <row r="229" spans="1:9" x14ac:dyDescent="0.25">
      <c r="A229">
        <v>2020</v>
      </c>
      <c r="B229">
        <v>1</v>
      </c>
      <c r="C229" t="str">
        <f t="shared" si="19"/>
        <v>18</v>
      </c>
      <c r="D229" t="s">
        <v>215</v>
      </c>
      <c r="E229" s="2">
        <f t="shared" si="16"/>
        <v>43848</v>
      </c>
      <c r="F229" s="2" t="str">
        <f t="shared" si="17"/>
        <v xml:space="preserve"> 3pm</v>
      </c>
      <c r="G229" s="2" t="s">
        <v>376</v>
      </c>
      <c r="H229" t="str">
        <f t="shared" si="21"/>
        <v>Southampton</v>
      </c>
      <c r="I229" t="str">
        <f t="shared" si="20"/>
        <v>Wolves</v>
      </c>
    </row>
    <row r="230" spans="1:9" x14ac:dyDescent="0.25">
      <c r="A230">
        <v>2020</v>
      </c>
      <c r="B230">
        <v>1</v>
      </c>
      <c r="C230" t="str">
        <f t="shared" si="19"/>
        <v>18</v>
      </c>
      <c r="D230" t="s">
        <v>216</v>
      </c>
      <c r="E230" s="2">
        <f t="shared" si="16"/>
        <v>43848</v>
      </c>
      <c r="F230" s="2" t="str">
        <f t="shared" si="17"/>
        <v xml:space="preserve"> 3pm</v>
      </c>
      <c r="G230" s="2" t="s">
        <v>376</v>
      </c>
      <c r="H230" t="str">
        <f t="shared" si="21"/>
        <v>Watford</v>
      </c>
      <c r="I230" t="str">
        <f t="shared" si="20"/>
        <v>Tottenham Hotspur</v>
      </c>
    </row>
    <row r="231" spans="1:9" x14ac:dyDescent="0.25">
      <c r="A231">
        <v>2020</v>
      </c>
      <c r="B231">
        <v>1</v>
      </c>
      <c r="C231" t="str">
        <f t="shared" si="19"/>
        <v>18</v>
      </c>
      <c r="D231" t="s">
        <v>217</v>
      </c>
      <c r="E231" s="2">
        <f t="shared" si="16"/>
        <v>43848</v>
      </c>
      <c r="F231" s="2" t="str">
        <f t="shared" si="17"/>
        <v xml:space="preserve"> 3pm</v>
      </c>
      <c r="G231" s="2" t="s">
        <v>376</v>
      </c>
      <c r="H231" t="str">
        <f t="shared" si="21"/>
        <v>West Ham United</v>
      </c>
      <c r="I231" t="str">
        <f t="shared" si="20"/>
        <v>Everton</v>
      </c>
    </row>
    <row r="232" spans="1:9" x14ac:dyDescent="0.25">
      <c r="A232">
        <v>2020</v>
      </c>
      <c r="B232">
        <v>1</v>
      </c>
      <c r="C232" t="str">
        <f t="shared" si="19"/>
        <v>21</v>
      </c>
      <c r="D232" t="s">
        <v>388</v>
      </c>
      <c r="E232" s="2">
        <f t="shared" si="16"/>
        <v>43851</v>
      </c>
      <c r="F232" s="2" t="str">
        <f t="shared" si="17"/>
        <v xml:space="preserve"> 19:45</v>
      </c>
      <c r="G232" s="3">
        <v>0.82291666666666663</v>
      </c>
      <c r="H232" t="str">
        <f t="shared" si="21"/>
        <v>Bournemouth</v>
      </c>
      <c r="I232" t="str">
        <f t="shared" si="20"/>
        <v>Brighton</v>
      </c>
    </row>
    <row r="233" spans="1:9" x14ac:dyDescent="0.25">
      <c r="A233">
        <v>2020</v>
      </c>
      <c r="B233">
        <v>1</v>
      </c>
      <c r="C233" t="str">
        <f t="shared" si="19"/>
        <v>21</v>
      </c>
      <c r="D233" t="s">
        <v>389</v>
      </c>
      <c r="E233" s="2">
        <f t="shared" si="16"/>
        <v>43851</v>
      </c>
      <c r="F233" s="2" t="str">
        <f t="shared" si="17"/>
        <v xml:space="preserve"> 19:45</v>
      </c>
      <c r="G233" s="3">
        <v>0.82291666666666663</v>
      </c>
      <c r="H233" t="str">
        <f t="shared" si="21"/>
        <v>Aston Villa</v>
      </c>
      <c r="I233" t="str">
        <f t="shared" si="20"/>
        <v>Watford</v>
      </c>
    </row>
    <row r="234" spans="1:9" x14ac:dyDescent="0.25">
      <c r="A234">
        <v>2020</v>
      </c>
      <c r="B234">
        <v>1</v>
      </c>
      <c r="C234" t="str">
        <f t="shared" si="19"/>
        <v>21</v>
      </c>
      <c r="D234" t="s">
        <v>390</v>
      </c>
      <c r="E234" s="2">
        <f t="shared" si="16"/>
        <v>43851</v>
      </c>
      <c r="F234" s="2" t="str">
        <f t="shared" si="17"/>
        <v xml:space="preserve"> 19:45</v>
      </c>
      <c r="G234" s="3">
        <v>0.82291666666666663</v>
      </c>
      <c r="H234" t="str">
        <f t="shared" si="21"/>
        <v>Everton</v>
      </c>
      <c r="I234" t="str">
        <f t="shared" si="20"/>
        <v>Newcastle United</v>
      </c>
    </row>
    <row r="235" spans="1:9" x14ac:dyDescent="0.25">
      <c r="A235">
        <v>2020</v>
      </c>
      <c r="B235">
        <v>1</v>
      </c>
      <c r="C235" t="str">
        <f t="shared" si="19"/>
        <v>21</v>
      </c>
      <c r="D235" t="s">
        <v>391</v>
      </c>
      <c r="E235" s="2">
        <f t="shared" si="16"/>
        <v>43851</v>
      </c>
      <c r="F235" s="2" t="str">
        <f t="shared" si="17"/>
        <v xml:space="preserve"> 19:45</v>
      </c>
      <c r="G235" s="3">
        <v>0.82291666666666663</v>
      </c>
      <c r="H235" t="str">
        <f t="shared" si="21"/>
        <v>Leicester City</v>
      </c>
      <c r="I235" t="str">
        <f t="shared" si="20"/>
        <v>West Ham United</v>
      </c>
    </row>
    <row r="236" spans="1:9" x14ac:dyDescent="0.25">
      <c r="A236">
        <v>2020</v>
      </c>
      <c r="B236">
        <v>1</v>
      </c>
      <c r="C236" t="str">
        <f t="shared" si="19"/>
        <v>21</v>
      </c>
      <c r="D236" t="s">
        <v>218</v>
      </c>
      <c r="E236" s="2">
        <f t="shared" si="16"/>
        <v>43851</v>
      </c>
      <c r="F236" s="2" t="str">
        <f t="shared" si="17"/>
        <v xml:space="preserve"> 8pm</v>
      </c>
      <c r="G236" s="2" t="s">
        <v>374</v>
      </c>
      <c r="H236" t="str">
        <f t="shared" si="21"/>
        <v>Manchester United</v>
      </c>
      <c r="I236" t="str">
        <f t="shared" si="20"/>
        <v>Burnley</v>
      </c>
    </row>
    <row r="237" spans="1:9" x14ac:dyDescent="0.25">
      <c r="A237">
        <v>2020</v>
      </c>
      <c r="B237">
        <v>1</v>
      </c>
      <c r="C237" t="str">
        <f t="shared" si="19"/>
        <v>21</v>
      </c>
      <c r="D237" t="s">
        <v>392</v>
      </c>
      <c r="E237" s="2">
        <f t="shared" si="16"/>
        <v>43851</v>
      </c>
      <c r="F237" s="2" t="str">
        <f t="shared" si="17"/>
        <v xml:space="preserve"> 19:45</v>
      </c>
      <c r="G237" s="3">
        <v>0.82291666666666663</v>
      </c>
      <c r="H237" t="str">
        <f t="shared" si="21"/>
        <v>Sheffield United</v>
      </c>
      <c r="I237" t="str">
        <f t="shared" si="20"/>
        <v>Manchester City</v>
      </c>
    </row>
    <row r="238" spans="1:9" x14ac:dyDescent="0.25">
      <c r="A238">
        <v>2020</v>
      </c>
      <c r="B238">
        <v>1</v>
      </c>
      <c r="C238" t="str">
        <f t="shared" si="19"/>
        <v>21</v>
      </c>
      <c r="D238" t="s">
        <v>393</v>
      </c>
      <c r="E238" s="2">
        <f t="shared" si="16"/>
        <v>43851</v>
      </c>
      <c r="F238" s="2" t="str">
        <f t="shared" si="17"/>
        <v xml:space="preserve"> 19:45</v>
      </c>
      <c r="G238" s="3">
        <v>0.82291666666666663</v>
      </c>
      <c r="H238" t="str">
        <f t="shared" si="21"/>
        <v>Wolves</v>
      </c>
      <c r="I238" t="str">
        <f t="shared" si="20"/>
        <v>Liverpool</v>
      </c>
    </row>
    <row r="239" spans="1:9" x14ac:dyDescent="0.25">
      <c r="A239">
        <v>2020</v>
      </c>
      <c r="B239">
        <v>1</v>
      </c>
      <c r="C239" t="str">
        <f t="shared" si="19"/>
        <v>22</v>
      </c>
      <c r="D239" t="s">
        <v>394</v>
      </c>
      <c r="E239" s="2">
        <f t="shared" si="16"/>
        <v>43852</v>
      </c>
      <c r="F239" s="2" t="str">
        <f t="shared" si="17"/>
        <v xml:space="preserve"> 19:45</v>
      </c>
      <c r="G239" s="3">
        <v>0.82291666666666663</v>
      </c>
      <c r="H239" t="str">
        <f t="shared" si="21"/>
        <v>Chelsea</v>
      </c>
      <c r="I239" t="str">
        <f t="shared" si="20"/>
        <v>Arsenal</v>
      </c>
    </row>
    <row r="240" spans="1:9" x14ac:dyDescent="0.25">
      <c r="A240">
        <v>2020</v>
      </c>
      <c r="B240">
        <v>1</v>
      </c>
      <c r="C240" t="str">
        <f t="shared" si="19"/>
        <v>22</v>
      </c>
      <c r="D240" t="s">
        <v>395</v>
      </c>
      <c r="E240" s="2">
        <f t="shared" si="16"/>
        <v>43852</v>
      </c>
      <c r="F240" s="2" t="str">
        <f t="shared" si="17"/>
        <v xml:space="preserve"> 19:45</v>
      </c>
      <c r="G240" s="3">
        <v>0.82291666666666663</v>
      </c>
      <c r="H240" t="str">
        <f t="shared" si="21"/>
        <v>Tottenham Hotspur</v>
      </c>
      <c r="I240" t="str">
        <f t="shared" si="20"/>
        <v>Norwich City</v>
      </c>
    </row>
    <row r="241" spans="1:9" x14ac:dyDescent="0.25">
      <c r="A241">
        <v>2020</v>
      </c>
      <c r="B241">
        <v>1</v>
      </c>
      <c r="C241" t="str">
        <f t="shared" si="19"/>
        <v>22</v>
      </c>
      <c r="D241" t="s">
        <v>219</v>
      </c>
      <c r="E241" s="2">
        <f t="shared" si="16"/>
        <v>43852</v>
      </c>
      <c r="F241" s="2" t="str">
        <f t="shared" si="17"/>
        <v xml:space="preserve"> 8pm</v>
      </c>
      <c r="G241" s="2" t="s">
        <v>374</v>
      </c>
      <c r="H241" t="str">
        <f t="shared" si="21"/>
        <v>Crystal Palace</v>
      </c>
      <c r="I241" t="str">
        <f t="shared" si="20"/>
        <v>Southampton</v>
      </c>
    </row>
    <row r="242" spans="1:9" x14ac:dyDescent="0.25">
      <c r="A242">
        <v>2020</v>
      </c>
      <c r="B242">
        <v>2</v>
      </c>
      <c r="C242" t="str">
        <f t="shared" si="19"/>
        <v>1</v>
      </c>
      <c r="D242" t="s">
        <v>349</v>
      </c>
      <c r="E242" s="2">
        <f t="shared" si="16"/>
        <v>43862</v>
      </c>
      <c r="F242" s="2" t="str">
        <f t="shared" si="17"/>
        <v xml:space="preserve"> 3pm</v>
      </c>
      <c r="G242" s="2" t="s">
        <v>376</v>
      </c>
      <c r="H242" t="str">
        <f t="shared" si="21"/>
        <v xml:space="preserve"> Bournemouth</v>
      </c>
      <c r="I242" t="str">
        <f t="shared" si="20"/>
        <v>Aston Villa</v>
      </c>
    </row>
    <row r="243" spans="1:9" x14ac:dyDescent="0.25">
      <c r="A243">
        <v>2020</v>
      </c>
      <c r="B243">
        <v>2</v>
      </c>
      <c r="C243" t="str">
        <f t="shared" si="19"/>
        <v>1</v>
      </c>
      <c r="D243" t="s">
        <v>350</v>
      </c>
      <c r="E243" s="2">
        <f t="shared" si="16"/>
        <v>43862</v>
      </c>
      <c r="F243" s="2" t="str">
        <f t="shared" si="17"/>
        <v xml:space="preserve"> 3pm</v>
      </c>
      <c r="G243" s="2" t="s">
        <v>376</v>
      </c>
      <c r="H243" t="str">
        <f t="shared" si="21"/>
        <v xml:space="preserve"> Burnley</v>
      </c>
      <c r="I243" t="str">
        <f t="shared" si="20"/>
        <v>Arsenal</v>
      </c>
    </row>
    <row r="244" spans="1:9" x14ac:dyDescent="0.25">
      <c r="A244">
        <v>2020</v>
      </c>
      <c r="B244">
        <v>2</v>
      </c>
      <c r="C244" t="str">
        <f t="shared" si="19"/>
        <v>1</v>
      </c>
      <c r="D244" t="s">
        <v>351</v>
      </c>
      <c r="E244" s="2">
        <f t="shared" si="16"/>
        <v>43862</v>
      </c>
      <c r="F244" s="2" t="str">
        <f t="shared" si="17"/>
        <v xml:space="preserve"> 3pm</v>
      </c>
      <c r="G244" s="2" t="s">
        <v>376</v>
      </c>
      <c r="H244" t="str">
        <f t="shared" si="21"/>
        <v xml:space="preserve"> Crystal Palace</v>
      </c>
      <c r="I244" t="str">
        <f t="shared" si="20"/>
        <v>Sheffield United</v>
      </c>
    </row>
    <row r="245" spans="1:9" x14ac:dyDescent="0.25">
      <c r="A245">
        <v>2020</v>
      </c>
      <c r="B245">
        <v>2</v>
      </c>
      <c r="C245" t="str">
        <f t="shared" si="19"/>
        <v>1</v>
      </c>
      <c r="D245" t="s">
        <v>352</v>
      </c>
      <c r="E245" s="2">
        <f t="shared" si="16"/>
        <v>43862</v>
      </c>
      <c r="F245" s="2" t="str">
        <f t="shared" si="17"/>
        <v xml:space="preserve"> 3pm</v>
      </c>
      <c r="G245" s="2" t="s">
        <v>376</v>
      </c>
      <c r="H245" t="str">
        <f t="shared" si="21"/>
        <v xml:space="preserve"> Leicester City</v>
      </c>
      <c r="I245" t="str">
        <f t="shared" si="20"/>
        <v>Chelsea</v>
      </c>
    </row>
    <row r="246" spans="1:9" x14ac:dyDescent="0.25">
      <c r="A246">
        <v>2020</v>
      </c>
      <c r="B246">
        <v>2</v>
      </c>
      <c r="C246" t="str">
        <f t="shared" si="19"/>
        <v>1</v>
      </c>
      <c r="D246" t="s">
        <v>353</v>
      </c>
      <c r="E246" s="2">
        <f t="shared" si="16"/>
        <v>43862</v>
      </c>
      <c r="F246" s="2" t="str">
        <f t="shared" si="17"/>
        <v xml:space="preserve"> 3pm</v>
      </c>
      <c r="G246" s="2" t="s">
        <v>376</v>
      </c>
      <c r="H246" t="str">
        <f t="shared" si="21"/>
        <v xml:space="preserve"> Liverpool</v>
      </c>
      <c r="I246" t="str">
        <f t="shared" si="20"/>
        <v>Southampton</v>
      </c>
    </row>
    <row r="247" spans="1:9" x14ac:dyDescent="0.25">
      <c r="A247">
        <v>2020</v>
      </c>
      <c r="B247">
        <v>2</v>
      </c>
      <c r="C247" t="str">
        <f t="shared" si="19"/>
        <v>1</v>
      </c>
      <c r="D247" t="s">
        <v>354</v>
      </c>
      <c r="E247" s="2">
        <f t="shared" si="16"/>
        <v>43862</v>
      </c>
      <c r="F247" s="2" t="str">
        <f t="shared" si="17"/>
        <v xml:space="preserve"> 3pm</v>
      </c>
      <c r="G247" s="2" t="s">
        <v>376</v>
      </c>
      <c r="H247" t="str">
        <f t="shared" si="21"/>
        <v xml:space="preserve"> Manchester United</v>
      </c>
      <c r="I247" t="str">
        <f t="shared" si="20"/>
        <v>Wolves</v>
      </c>
    </row>
    <row r="248" spans="1:9" x14ac:dyDescent="0.25">
      <c r="A248">
        <v>2020</v>
      </c>
      <c r="B248">
        <v>2</v>
      </c>
      <c r="C248" t="str">
        <f t="shared" si="19"/>
        <v>1</v>
      </c>
      <c r="D248" t="s">
        <v>355</v>
      </c>
      <c r="E248" s="2">
        <f t="shared" si="16"/>
        <v>43862</v>
      </c>
      <c r="F248" s="2" t="str">
        <f t="shared" si="17"/>
        <v xml:space="preserve"> 3pm</v>
      </c>
      <c r="G248" s="2" t="s">
        <v>376</v>
      </c>
      <c r="H248" t="str">
        <f t="shared" si="21"/>
        <v xml:space="preserve"> Newcastle United</v>
      </c>
      <c r="I248" t="str">
        <f t="shared" si="20"/>
        <v>Norwich City</v>
      </c>
    </row>
    <row r="249" spans="1:9" x14ac:dyDescent="0.25">
      <c r="A249">
        <v>2020</v>
      </c>
      <c r="B249">
        <v>2</v>
      </c>
      <c r="C249" t="str">
        <f t="shared" si="19"/>
        <v>1</v>
      </c>
      <c r="D249" t="s">
        <v>356</v>
      </c>
      <c r="E249" s="2">
        <f t="shared" si="16"/>
        <v>43862</v>
      </c>
      <c r="F249" s="2" t="str">
        <f t="shared" si="17"/>
        <v xml:space="preserve"> 3pm</v>
      </c>
      <c r="G249" s="2" t="s">
        <v>376</v>
      </c>
      <c r="H249" t="str">
        <f t="shared" si="21"/>
        <v xml:space="preserve"> Tottenham Hotspur</v>
      </c>
      <c r="I249" t="str">
        <f t="shared" si="20"/>
        <v>Manchester City</v>
      </c>
    </row>
    <row r="250" spans="1:9" x14ac:dyDescent="0.25">
      <c r="A250">
        <v>2020</v>
      </c>
      <c r="B250">
        <v>2</v>
      </c>
      <c r="C250" t="str">
        <f t="shared" si="19"/>
        <v>1</v>
      </c>
      <c r="D250" t="s">
        <v>357</v>
      </c>
      <c r="E250" s="2">
        <f t="shared" si="16"/>
        <v>43862</v>
      </c>
      <c r="F250" s="2" t="str">
        <f t="shared" si="17"/>
        <v xml:space="preserve"> 3pm</v>
      </c>
      <c r="G250" s="2" t="s">
        <v>376</v>
      </c>
      <c r="H250" t="str">
        <f t="shared" si="21"/>
        <v xml:space="preserve"> Watford</v>
      </c>
      <c r="I250" t="str">
        <f t="shared" si="20"/>
        <v>Everton</v>
      </c>
    </row>
    <row r="251" spans="1:9" x14ac:dyDescent="0.25">
      <c r="A251">
        <v>2020</v>
      </c>
      <c r="B251">
        <v>2</v>
      </c>
      <c r="C251" t="str">
        <f t="shared" si="19"/>
        <v>1</v>
      </c>
      <c r="D251" t="s">
        <v>358</v>
      </c>
      <c r="E251" s="2">
        <f t="shared" si="16"/>
        <v>43862</v>
      </c>
      <c r="F251" s="2" t="str">
        <f t="shared" si="17"/>
        <v xml:space="preserve"> 3pm</v>
      </c>
      <c r="G251" s="2" t="s">
        <v>376</v>
      </c>
      <c r="H251" t="str">
        <f t="shared" si="21"/>
        <v xml:space="preserve"> West Ham United</v>
      </c>
      <c r="I251" t="str">
        <f t="shared" si="20"/>
        <v>Brighton</v>
      </c>
    </row>
    <row r="252" spans="1:9" x14ac:dyDescent="0.25">
      <c r="A252">
        <v>2020</v>
      </c>
      <c r="B252">
        <v>2</v>
      </c>
      <c r="C252" t="str">
        <f t="shared" si="19"/>
        <v>8</v>
      </c>
      <c r="D252" t="s">
        <v>220</v>
      </c>
      <c r="E252" s="2">
        <f t="shared" si="16"/>
        <v>43869</v>
      </c>
      <c r="F252" s="2" t="str">
        <f t="shared" si="17"/>
        <v xml:space="preserve"> 3pm</v>
      </c>
      <c r="G252" s="2" t="s">
        <v>376</v>
      </c>
      <c r="H252" t="str">
        <f t="shared" si="21"/>
        <v>Arsenal</v>
      </c>
      <c r="I252" t="str">
        <f t="shared" si="20"/>
        <v>Newcastle United</v>
      </c>
    </row>
    <row r="253" spans="1:9" x14ac:dyDescent="0.25">
      <c r="A253">
        <v>2020</v>
      </c>
      <c r="B253">
        <v>2</v>
      </c>
      <c r="C253" t="str">
        <f t="shared" si="19"/>
        <v>8</v>
      </c>
      <c r="D253" t="s">
        <v>221</v>
      </c>
      <c r="E253" s="2">
        <f t="shared" si="16"/>
        <v>43869</v>
      </c>
      <c r="F253" s="2" t="str">
        <f t="shared" si="17"/>
        <v xml:space="preserve"> 3pm</v>
      </c>
      <c r="G253" s="2" t="s">
        <v>376</v>
      </c>
      <c r="H253" t="str">
        <f t="shared" si="21"/>
        <v>Aston Villa</v>
      </c>
      <c r="I253" t="str">
        <f t="shared" si="20"/>
        <v>Tottenham Hotspur</v>
      </c>
    </row>
    <row r="254" spans="1:9" x14ac:dyDescent="0.25">
      <c r="A254">
        <v>2020</v>
      </c>
      <c r="B254">
        <v>2</v>
      </c>
      <c r="C254" t="str">
        <f t="shared" si="19"/>
        <v>8</v>
      </c>
      <c r="D254" t="s">
        <v>222</v>
      </c>
      <c r="E254" s="2">
        <f t="shared" si="16"/>
        <v>43869</v>
      </c>
      <c r="F254" s="2" t="str">
        <f t="shared" si="17"/>
        <v xml:space="preserve"> 3pm</v>
      </c>
      <c r="G254" s="2" t="s">
        <v>376</v>
      </c>
      <c r="H254" t="str">
        <f t="shared" si="21"/>
        <v>Brighton</v>
      </c>
      <c r="I254" t="str">
        <f t="shared" si="20"/>
        <v>Watford</v>
      </c>
    </row>
    <row r="255" spans="1:9" x14ac:dyDescent="0.25">
      <c r="A255">
        <v>2020</v>
      </c>
      <c r="B255">
        <v>2</v>
      </c>
      <c r="C255" t="str">
        <f t="shared" si="19"/>
        <v>8</v>
      </c>
      <c r="D255" t="s">
        <v>223</v>
      </c>
      <c r="E255" s="2">
        <f t="shared" si="16"/>
        <v>43869</v>
      </c>
      <c r="F255" s="2" t="str">
        <f t="shared" si="17"/>
        <v xml:space="preserve"> 3pm</v>
      </c>
      <c r="G255" s="2" t="s">
        <v>376</v>
      </c>
      <c r="H255" t="str">
        <f t="shared" si="21"/>
        <v>Chelsea</v>
      </c>
      <c r="I255" t="str">
        <f t="shared" si="20"/>
        <v>Manchester United</v>
      </c>
    </row>
    <row r="256" spans="1:9" x14ac:dyDescent="0.25">
      <c r="A256">
        <v>2020</v>
      </c>
      <c r="B256">
        <v>2</v>
      </c>
      <c r="C256" t="str">
        <f t="shared" si="19"/>
        <v>8</v>
      </c>
      <c r="D256" t="s">
        <v>224</v>
      </c>
      <c r="E256" s="2">
        <f t="shared" si="16"/>
        <v>43869</v>
      </c>
      <c r="F256" s="2" t="str">
        <f t="shared" si="17"/>
        <v xml:space="preserve"> 3pm</v>
      </c>
      <c r="G256" s="2" t="s">
        <v>376</v>
      </c>
      <c r="H256" t="str">
        <f t="shared" si="21"/>
        <v>Everton</v>
      </c>
      <c r="I256" t="str">
        <f t="shared" si="20"/>
        <v>Crystal Palace</v>
      </c>
    </row>
    <row r="257" spans="1:9" x14ac:dyDescent="0.25">
      <c r="A257">
        <v>2020</v>
      </c>
      <c r="B257">
        <v>2</v>
      </c>
      <c r="C257" t="str">
        <f t="shared" si="19"/>
        <v>8</v>
      </c>
      <c r="D257" t="s">
        <v>225</v>
      </c>
      <c r="E257" s="2">
        <f t="shared" si="16"/>
        <v>43869</v>
      </c>
      <c r="F257" s="2" t="str">
        <f t="shared" si="17"/>
        <v xml:space="preserve"> 3pm</v>
      </c>
      <c r="G257" s="2" t="s">
        <v>376</v>
      </c>
      <c r="H257" t="str">
        <f t="shared" si="21"/>
        <v>Manchester City</v>
      </c>
      <c r="I257" t="str">
        <f t="shared" si="20"/>
        <v>West Ham United</v>
      </c>
    </row>
    <row r="258" spans="1:9" x14ac:dyDescent="0.25">
      <c r="A258">
        <v>2020</v>
      </c>
      <c r="B258">
        <v>2</v>
      </c>
      <c r="C258" t="str">
        <f t="shared" si="19"/>
        <v>8</v>
      </c>
      <c r="D258" t="s">
        <v>226</v>
      </c>
      <c r="E258" s="2">
        <f t="shared" si="16"/>
        <v>43869</v>
      </c>
      <c r="F258" s="2" t="str">
        <f t="shared" si="17"/>
        <v xml:space="preserve"> 3pm</v>
      </c>
      <c r="G258" s="2" t="s">
        <v>376</v>
      </c>
      <c r="H258" t="str">
        <f t="shared" si="21"/>
        <v>Norwich City</v>
      </c>
      <c r="I258" t="str">
        <f t="shared" si="20"/>
        <v>Liverpool</v>
      </c>
    </row>
    <row r="259" spans="1:9" x14ac:dyDescent="0.25">
      <c r="A259">
        <v>2020</v>
      </c>
      <c r="B259">
        <v>2</v>
      </c>
      <c r="C259" t="str">
        <f t="shared" si="19"/>
        <v>8</v>
      </c>
      <c r="D259" t="s">
        <v>227</v>
      </c>
      <c r="E259" s="2">
        <f t="shared" ref="E259:E322" si="22">DATE(A259, B259, C259)</f>
        <v>43869</v>
      </c>
      <c r="F259" s="2" t="str">
        <f t="shared" ref="F259:F322" si="23">RIGHT(D259, (LEN(D259) - FIND(", ", D259)))</f>
        <v xml:space="preserve"> 3pm</v>
      </c>
      <c r="G259" s="2" t="s">
        <v>376</v>
      </c>
      <c r="H259" t="str">
        <f t="shared" ref="H259:H322" si="24">RIGHT(LEFT(D259,FIND(" vs ",D259,1)-1), (LEN(LEFT(D259,FIND(" vs ",D259,1)-1))-FIND(":",D259, 1) - 1))</f>
        <v>Sheffield United</v>
      </c>
      <c r="I259" t="str">
        <f t="shared" si="20"/>
        <v>Bournemouth</v>
      </c>
    </row>
    <row r="260" spans="1:9" x14ac:dyDescent="0.25">
      <c r="A260">
        <v>2020</v>
      </c>
      <c r="B260">
        <v>2</v>
      </c>
      <c r="C260" t="str">
        <f t="shared" si="19"/>
        <v>8</v>
      </c>
      <c r="D260" t="s">
        <v>228</v>
      </c>
      <c r="E260" s="2">
        <f t="shared" si="22"/>
        <v>43869</v>
      </c>
      <c r="F260" s="2" t="str">
        <f t="shared" si="23"/>
        <v xml:space="preserve"> 3pm</v>
      </c>
      <c r="G260" s="2" t="s">
        <v>376</v>
      </c>
      <c r="H260" t="str">
        <f t="shared" si="24"/>
        <v>Southampton</v>
      </c>
      <c r="I260" t="str">
        <f t="shared" si="20"/>
        <v>Burnley</v>
      </c>
    </row>
    <row r="261" spans="1:9" x14ac:dyDescent="0.25">
      <c r="A261">
        <v>2020</v>
      </c>
      <c r="B261">
        <v>2</v>
      </c>
      <c r="C261" t="str">
        <f t="shared" ref="C261:C324" si="25">LEFT(D261,FIND(":",D261,1)-1)</f>
        <v>8</v>
      </c>
      <c r="D261" t="s">
        <v>229</v>
      </c>
      <c r="E261" s="2">
        <f t="shared" si="22"/>
        <v>43869</v>
      </c>
      <c r="F261" s="2" t="str">
        <f t="shared" si="23"/>
        <v xml:space="preserve"> 3pm</v>
      </c>
      <c r="G261" s="2" t="s">
        <v>376</v>
      </c>
      <c r="H261" t="str">
        <f t="shared" si="24"/>
        <v>Wolverhampton</v>
      </c>
      <c r="I261" t="str">
        <f t="shared" ref="I261:I324" si="26">LEFT(RIGHT(D261,LEN(D261)-FIND("vs",D261)-2),FIND(", ",RIGHT(D261,LEN(D261)-FIND("vs",D261)-3)))</f>
        <v>Leicester City</v>
      </c>
    </row>
    <row r="262" spans="1:9" x14ac:dyDescent="0.25">
      <c r="A262">
        <v>2020</v>
      </c>
      <c r="B262">
        <v>2</v>
      </c>
      <c r="C262" t="str">
        <f t="shared" si="25"/>
        <v>22</v>
      </c>
      <c r="D262" t="s">
        <v>230</v>
      </c>
      <c r="E262" s="2">
        <f t="shared" si="22"/>
        <v>43883</v>
      </c>
      <c r="F262" s="2" t="str">
        <f t="shared" si="23"/>
        <v xml:space="preserve"> 3pm</v>
      </c>
      <c r="G262" s="2" t="s">
        <v>376</v>
      </c>
      <c r="H262" t="str">
        <f t="shared" si="24"/>
        <v>Arsenal</v>
      </c>
      <c r="I262" t="str">
        <f t="shared" si="26"/>
        <v>Everton</v>
      </c>
    </row>
    <row r="263" spans="1:9" x14ac:dyDescent="0.25">
      <c r="A263">
        <v>2020</v>
      </c>
      <c r="B263">
        <v>2</v>
      </c>
      <c r="C263" t="str">
        <f t="shared" si="25"/>
        <v>22</v>
      </c>
      <c r="D263" t="s">
        <v>231</v>
      </c>
      <c r="E263" s="2">
        <f t="shared" si="22"/>
        <v>43883</v>
      </c>
      <c r="F263" s="2" t="str">
        <f t="shared" si="23"/>
        <v xml:space="preserve"> 3pm</v>
      </c>
      <c r="G263" s="2" t="s">
        <v>376</v>
      </c>
      <c r="H263" t="str">
        <f t="shared" si="24"/>
        <v>Burnley</v>
      </c>
      <c r="I263" t="str">
        <f t="shared" si="26"/>
        <v>Bournemouth</v>
      </c>
    </row>
    <row r="264" spans="1:9" x14ac:dyDescent="0.25">
      <c r="A264">
        <v>2020</v>
      </c>
      <c r="B264">
        <v>2</v>
      </c>
      <c r="C264" t="str">
        <f t="shared" si="25"/>
        <v>22</v>
      </c>
      <c r="D264" t="s">
        <v>232</v>
      </c>
      <c r="E264" s="2">
        <f t="shared" si="22"/>
        <v>43883</v>
      </c>
      <c r="F264" s="2" t="str">
        <f t="shared" si="23"/>
        <v xml:space="preserve"> 3pm</v>
      </c>
      <c r="G264" s="2" t="s">
        <v>376</v>
      </c>
      <c r="H264" t="str">
        <f t="shared" si="24"/>
        <v>Chelsea</v>
      </c>
      <c r="I264" t="str">
        <f t="shared" si="26"/>
        <v>Tottenham Hotspur</v>
      </c>
    </row>
    <row r="265" spans="1:9" x14ac:dyDescent="0.25">
      <c r="A265">
        <v>2020</v>
      </c>
      <c r="B265">
        <v>2</v>
      </c>
      <c r="C265" t="str">
        <f t="shared" si="25"/>
        <v>22</v>
      </c>
      <c r="D265" t="s">
        <v>233</v>
      </c>
      <c r="E265" s="2">
        <f t="shared" si="22"/>
        <v>43883</v>
      </c>
      <c r="F265" s="2" t="str">
        <f t="shared" si="23"/>
        <v xml:space="preserve"> 3pm</v>
      </c>
      <c r="G265" s="2" t="s">
        <v>376</v>
      </c>
      <c r="H265" t="str">
        <f t="shared" si="24"/>
        <v>Crystal Palace</v>
      </c>
      <c r="I265" t="str">
        <f t="shared" si="26"/>
        <v>Newcastle United</v>
      </c>
    </row>
    <row r="266" spans="1:9" x14ac:dyDescent="0.25">
      <c r="A266">
        <v>2020</v>
      </c>
      <c r="B266">
        <v>2</v>
      </c>
      <c r="C266" t="str">
        <f t="shared" si="25"/>
        <v>22</v>
      </c>
      <c r="D266" t="s">
        <v>234</v>
      </c>
      <c r="E266" s="2">
        <f t="shared" si="22"/>
        <v>43883</v>
      </c>
      <c r="F266" s="2" t="str">
        <f t="shared" si="23"/>
        <v xml:space="preserve"> 3pm</v>
      </c>
      <c r="G266" s="2" t="s">
        <v>376</v>
      </c>
      <c r="H266" t="str">
        <f t="shared" si="24"/>
        <v>Leicester City</v>
      </c>
      <c r="I266" t="str">
        <f t="shared" si="26"/>
        <v>Manchester City</v>
      </c>
    </row>
    <row r="267" spans="1:9" x14ac:dyDescent="0.25">
      <c r="A267">
        <v>2020</v>
      </c>
      <c r="B267">
        <v>2</v>
      </c>
      <c r="C267" t="str">
        <f t="shared" si="25"/>
        <v>22</v>
      </c>
      <c r="D267" t="s">
        <v>235</v>
      </c>
      <c r="E267" s="2">
        <f t="shared" si="22"/>
        <v>43883</v>
      </c>
      <c r="F267" s="2" t="str">
        <f t="shared" si="23"/>
        <v xml:space="preserve"> 3pm</v>
      </c>
      <c r="G267" s="2" t="s">
        <v>376</v>
      </c>
      <c r="H267" t="str">
        <f t="shared" si="24"/>
        <v>Liverpool</v>
      </c>
      <c r="I267" t="str">
        <f t="shared" si="26"/>
        <v>West Ham United</v>
      </c>
    </row>
    <row r="268" spans="1:9" x14ac:dyDescent="0.25">
      <c r="A268">
        <v>2020</v>
      </c>
      <c r="B268">
        <v>2</v>
      </c>
      <c r="C268" t="str">
        <f t="shared" si="25"/>
        <v>22</v>
      </c>
      <c r="D268" t="s">
        <v>236</v>
      </c>
      <c r="E268" s="2">
        <f t="shared" si="22"/>
        <v>43883</v>
      </c>
      <c r="F268" s="2" t="str">
        <f t="shared" si="23"/>
        <v xml:space="preserve"> 3pm</v>
      </c>
      <c r="G268" s="2" t="s">
        <v>376</v>
      </c>
      <c r="H268" t="str">
        <f t="shared" si="24"/>
        <v>Manchester United</v>
      </c>
      <c r="I268" t="str">
        <f t="shared" si="26"/>
        <v>Watford</v>
      </c>
    </row>
    <row r="269" spans="1:9" x14ac:dyDescent="0.25">
      <c r="A269">
        <v>2020</v>
      </c>
      <c r="B269">
        <v>2</v>
      </c>
      <c r="C269" t="str">
        <f t="shared" si="25"/>
        <v>22</v>
      </c>
      <c r="D269" t="s">
        <v>237</v>
      </c>
      <c r="E269" s="2">
        <f t="shared" si="22"/>
        <v>43883</v>
      </c>
      <c r="F269" s="2" t="str">
        <f t="shared" si="23"/>
        <v xml:space="preserve"> 3pm</v>
      </c>
      <c r="G269" s="2" t="s">
        <v>376</v>
      </c>
      <c r="H269" t="str">
        <f t="shared" si="24"/>
        <v>Sheffield United</v>
      </c>
      <c r="I269" t="str">
        <f t="shared" si="26"/>
        <v>Brighton</v>
      </c>
    </row>
    <row r="270" spans="1:9" x14ac:dyDescent="0.25">
      <c r="A270">
        <v>2020</v>
      </c>
      <c r="B270">
        <v>2</v>
      </c>
      <c r="C270" t="str">
        <f t="shared" si="25"/>
        <v>22</v>
      </c>
      <c r="D270" t="s">
        <v>238</v>
      </c>
      <c r="E270" s="2">
        <f t="shared" si="22"/>
        <v>43883</v>
      </c>
      <c r="F270" s="2" t="str">
        <f t="shared" si="23"/>
        <v xml:space="preserve"> 3pm</v>
      </c>
      <c r="G270" s="2" t="s">
        <v>376</v>
      </c>
      <c r="H270" t="str">
        <f t="shared" si="24"/>
        <v>Southampton</v>
      </c>
      <c r="I270" t="str">
        <f t="shared" si="26"/>
        <v>Aston Villa</v>
      </c>
    </row>
    <row r="271" spans="1:9" x14ac:dyDescent="0.25">
      <c r="A271">
        <v>2020</v>
      </c>
      <c r="B271">
        <v>2</v>
      </c>
      <c r="C271" t="str">
        <f t="shared" si="25"/>
        <v>22</v>
      </c>
      <c r="D271" t="s">
        <v>239</v>
      </c>
      <c r="E271" s="2">
        <f t="shared" si="22"/>
        <v>43883</v>
      </c>
      <c r="F271" s="2" t="str">
        <f t="shared" si="23"/>
        <v xml:space="preserve"> 3pm</v>
      </c>
      <c r="G271" s="2" t="s">
        <v>376</v>
      </c>
      <c r="H271" t="str">
        <f t="shared" si="24"/>
        <v>Wolves</v>
      </c>
      <c r="I271" t="str">
        <f t="shared" si="26"/>
        <v>Norwich City</v>
      </c>
    </row>
    <row r="272" spans="1:9" x14ac:dyDescent="0.25">
      <c r="A272">
        <v>2020</v>
      </c>
      <c r="B272">
        <v>2</v>
      </c>
      <c r="C272" t="str">
        <f t="shared" si="25"/>
        <v>29</v>
      </c>
      <c r="D272" t="s">
        <v>240</v>
      </c>
      <c r="E272" s="2">
        <f t="shared" si="22"/>
        <v>43890</v>
      </c>
      <c r="F272" s="2" t="str">
        <f t="shared" si="23"/>
        <v xml:space="preserve"> 3pm</v>
      </c>
      <c r="G272" s="2" t="s">
        <v>376</v>
      </c>
      <c r="H272" t="str">
        <f t="shared" si="24"/>
        <v>Bournemouth</v>
      </c>
      <c r="I272" t="str">
        <f t="shared" si="26"/>
        <v>Chelsea</v>
      </c>
    </row>
    <row r="273" spans="1:9" x14ac:dyDescent="0.25">
      <c r="A273">
        <v>2020</v>
      </c>
      <c r="B273">
        <v>2</v>
      </c>
      <c r="C273" t="str">
        <f t="shared" si="25"/>
        <v>29</v>
      </c>
      <c r="D273" t="s">
        <v>241</v>
      </c>
      <c r="E273" s="2">
        <f t="shared" si="22"/>
        <v>43890</v>
      </c>
      <c r="F273" s="2" t="str">
        <f t="shared" si="23"/>
        <v xml:space="preserve"> 3pm</v>
      </c>
      <c r="G273" s="2" t="s">
        <v>376</v>
      </c>
      <c r="H273" t="str">
        <f t="shared" si="24"/>
        <v>Aston Villa</v>
      </c>
      <c r="I273" t="str">
        <f t="shared" si="26"/>
        <v>Sheffield United</v>
      </c>
    </row>
    <row r="274" spans="1:9" x14ac:dyDescent="0.25">
      <c r="A274">
        <v>2020</v>
      </c>
      <c r="B274">
        <v>2</v>
      </c>
      <c r="C274" t="str">
        <f t="shared" si="25"/>
        <v>29</v>
      </c>
      <c r="D274" t="s">
        <v>242</v>
      </c>
      <c r="E274" s="2">
        <f t="shared" si="22"/>
        <v>43890</v>
      </c>
      <c r="F274" s="2" t="str">
        <f t="shared" si="23"/>
        <v xml:space="preserve"> 3pm</v>
      </c>
      <c r="G274" s="2" t="s">
        <v>376</v>
      </c>
      <c r="H274" t="str">
        <f t="shared" si="24"/>
        <v>Brighton</v>
      </c>
      <c r="I274" t="str">
        <f t="shared" si="26"/>
        <v>Crystal Palace</v>
      </c>
    </row>
    <row r="275" spans="1:9" x14ac:dyDescent="0.25">
      <c r="A275">
        <v>2020</v>
      </c>
      <c r="B275">
        <v>2</v>
      </c>
      <c r="C275" t="str">
        <f t="shared" si="25"/>
        <v>29</v>
      </c>
      <c r="D275" t="s">
        <v>243</v>
      </c>
      <c r="E275" s="2">
        <f t="shared" si="22"/>
        <v>43890</v>
      </c>
      <c r="F275" s="2" t="str">
        <f t="shared" si="23"/>
        <v xml:space="preserve"> 3pm</v>
      </c>
      <c r="G275" s="2" t="s">
        <v>376</v>
      </c>
      <c r="H275" t="str">
        <f t="shared" si="24"/>
        <v>Everton</v>
      </c>
      <c r="I275" t="str">
        <f t="shared" si="26"/>
        <v>Manchester United</v>
      </c>
    </row>
    <row r="276" spans="1:9" x14ac:dyDescent="0.25">
      <c r="A276">
        <v>2020</v>
      </c>
      <c r="B276">
        <v>2</v>
      </c>
      <c r="C276" t="str">
        <f t="shared" si="25"/>
        <v>29</v>
      </c>
      <c r="D276" t="s">
        <v>244</v>
      </c>
      <c r="E276" s="2">
        <f t="shared" si="22"/>
        <v>43890</v>
      </c>
      <c r="F276" s="2" t="str">
        <f t="shared" si="23"/>
        <v xml:space="preserve"> 3pm</v>
      </c>
      <c r="G276" s="2" t="s">
        <v>376</v>
      </c>
      <c r="H276" t="str">
        <f t="shared" si="24"/>
        <v>Manchester City</v>
      </c>
      <c r="I276" t="str">
        <f t="shared" si="26"/>
        <v>Arsenal</v>
      </c>
    </row>
    <row r="277" spans="1:9" x14ac:dyDescent="0.25">
      <c r="A277">
        <v>2020</v>
      </c>
      <c r="B277">
        <v>2</v>
      </c>
      <c r="C277" t="str">
        <f t="shared" si="25"/>
        <v>29</v>
      </c>
      <c r="D277" t="s">
        <v>245</v>
      </c>
      <c r="E277" s="2">
        <f t="shared" si="22"/>
        <v>43890</v>
      </c>
      <c r="F277" s="2" t="str">
        <f t="shared" si="23"/>
        <v xml:space="preserve"> 3pm</v>
      </c>
      <c r="G277" s="2" t="s">
        <v>376</v>
      </c>
      <c r="H277" t="str">
        <f t="shared" si="24"/>
        <v>Newcastle United</v>
      </c>
      <c r="I277" t="str">
        <f t="shared" si="26"/>
        <v>Burnley</v>
      </c>
    </row>
    <row r="278" spans="1:9" x14ac:dyDescent="0.25">
      <c r="A278">
        <v>2020</v>
      </c>
      <c r="B278">
        <v>2</v>
      </c>
      <c r="C278" t="str">
        <f t="shared" si="25"/>
        <v>29</v>
      </c>
      <c r="D278" t="s">
        <v>246</v>
      </c>
      <c r="E278" s="2">
        <f t="shared" si="22"/>
        <v>43890</v>
      </c>
      <c r="F278" s="2" t="str">
        <f t="shared" si="23"/>
        <v xml:space="preserve"> 3pm</v>
      </c>
      <c r="G278" s="2" t="s">
        <v>376</v>
      </c>
      <c r="H278" t="str">
        <f t="shared" si="24"/>
        <v>Norwich City</v>
      </c>
      <c r="I278" t="str">
        <f t="shared" si="26"/>
        <v>Leicester City</v>
      </c>
    </row>
    <row r="279" spans="1:9" x14ac:dyDescent="0.25">
      <c r="A279">
        <v>2020</v>
      </c>
      <c r="B279">
        <v>2</v>
      </c>
      <c r="C279" t="str">
        <f t="shared" si="25"/>
        <v>29</v>
      </c>
      <c r="D279" t="s">
        <v>247</v>
      </c>
      <c r="E279" s="2">
        <f t="shared" si="22"/>
        <v>43890</v>
      </c>
      <c r="F279" s="2" t="str">
        <f t="shared" si="23"/>
        <v xml:space="preserve"> 3pm</v>
      </c>
      <c r="G279" s="2" t="s">
        <v>376</v>
      </c>
      <c r="H279" t="str">
        <f t="shared" si="24"/>
        <v>Tottenham Hotspur</v>
      </c>
      <c r="I279" t="str">
        <f t="shared" si="26"/>
        <v>Wolves</v>
      </c>
    </row>
    <row r="280" spans="1:9" x14ac:dyDescent="0.25">
      <c r="A280">
        <v>2020</v>
      </c>
      <c r="B280">
        <v>2</v>
      </c>
      <c r="C280" t="str">
        <f t="shared" si="25"/>
        <v>29</v>
      </c>
      <c r="D280" t="s">
        <v>248</v>
      </c>
      <c r="E280" s="2">
        <f t="shared" si="22"/>
        <v>43890</v>
      </c>
      <c r="F280" s="2" t="str">
        <f t="shared" si="23"/>
        <v xml:space="preserve"> 3pm</v>
      </c>
      <c r="G280" s="2" t="s">
        <v>376</v>
      </c>
      <c r="H280" t="str">
        <f t="shared" si="24"/>
        <v>Watford</v>
      </c>
      <c r="I280" t="str">
        <f t="shared" si="26"/>
        <v>Liverpool</v>
      </c>
    </row>
    <row r="281" spans="1:9" x14ac:dyDescent="0.25">
      <c r="A281">
        <v>2020</v>
      </c>
      <c r="B281">
        <v>2</v>
      </c>
      <c r="C281" t="str">
        <f t="shared" si="25"/>
        <v>29</v>
      </c>
      <c r="D281" t="s">
        <v>249</v>
      </c>
      <c r="E281" s="2">
        <f t="shared" si="22"/>
        <v>43890</v>
      </c>
      <c r="F281" s="2" t="str">
        <f t="shared" si="23"/>
        <v xml:space="preserve"> 3pm</v>
      </c>
      <c r="G281" s="2" t="s">
        <v>376</v>
      </c>
      <c r="H281" t="str">
        <f t="shared" si="24"/>
        <v>West Ham United</v>
      </c>
      <c r="I281" t="str">
        <f t="shared" si="26"/>
        <v>Southampton</v>
      </c>
    </row>
    <row r="282" spans="1:9" x14ac:dyDescent="0.25">
      <c r="A282">
        <v>2020</v>
      </c>
      <c r="B282">
        <v>3</v>
      </c>
      <c r="C282" t="str">
        <f t="shared" si="25"/>
        <v>7</v>
      </c>
      <c r="D282" t="s">
        <v>250</v>
      </c>
      <c r="E282" s="2">
        <f t="shared" si="22"/>
        <v>43897</v>
      </c>
      <c r="F282" s="2" t="str">
        <f t="shared" si="23"/>
        <v xml:space="preserve"> 3pm</v>
      </c>
      <c r="G282" s="2" t="s">
        <v>376</v>
      </c>
      <c r="H282" t="str">
        <f t="shared" si="24"/>
        <v>Arsenal</v>
      </c>
      <c r="I282" t="str">
        <f t="shared" si="26"/>
        <v>West Ham United</v>
      </c>
    </row>
    <row r="283" spans="1:9" x14ac:dyDescent="0.25">
      <c r="A283">
        <v>2020</v>
      </c>
      <c r="B283">
        <v>3</v>
      </c>
      <c r="C283" t="str">
        <f t="shared" si="25"/>
        <v>7</v>
      </c>
      <c r="D283" t="s">
        <v>251</v>
      </c>
      <c r="E283" s="2">
        <f t="shared" si="22"/>
        <v>43897</v>
      </c>
      <c r="F283" s="2" t="str">
        <f t="shared" si="23"/>
        <v xml:space="preserve"> 3pm</v>
      </c>
      <c r="G283" s="2" t="s">
        <v>376</v>
      </c>
      <c r="H283" t="str">
        <f t="shared" si="24"/>
        <v>Burnley</v>
      </c>
      <c r="I283" t="str">
        <f t="shared" si="26"/>
        <v>Tottenham Hotspur</v>
      </c>
    </row>
    <row r="284" spans="1:9" x14ac:dyDescent="0.25">
      <c r="A284">
        <v>2020</v>
      </c>
      <c r="B284">
        <v>3</v>
      </c>
      <c r="C284" t="str">
        <f t="shared" si="25"/>
        <v>7</v>
      </c>
      <c r="D284" t="s">
        <v>252</v>
      </c>
      <c r="E284" s="2">
        <f t="shared" si="22"/>
        <v>43897</v>
      </c>
      <c r="F284" s="2" t="str">
        <f t="shared" si="23"/>
        <v xml:space="preserve"> 3pm</v>
      </c>
      <c r="G284" s="2" t="s">
        <v>376</v>
      </c>
      <c r="H284" t="str">
        <f t="shared" si="24"/>
        <v>Chelsea</v>
      </c>
      <c r="I284" t="str">
        <f t="shared" si="26"/>
        <v>Everton</v>
      </c>
    </row>
    <row r="285" spans="1:9" x14ac:dyDescent="0.25">
      <c r="A285">
        <v>2020</v>
      </c>
      <c r="B285">
        <v>3</v>
      </c>
      <c r="C285" t="str">
        <f t="shared" si="25"/>
        <v>7</v>
      </c>
      <c r="D285" t="s">
        <v>253</v>
      </c>
      <c r="E285" s="2">
        <f t="shared" si="22"/>
        <v>43897</v>
      </c>
      <c r="F285" s="2" t="str">
        <f t="shared" si="23"/>
        <v xml:space="preserve"> 3pm</v>
      </c>
      <c r="G285" s="2" t="s">
        <v>376</v>
      </c>
      <c r="H285" t="str">
        <f t="shared" si="24"/>
        <v>Crystal Palace</v>
      </c>
      <c r="I285" t="str">
        <f t="shared" si="26"/>
        <v>Watford</v>
      </c>
    </row>
    <row r="286" spans="1:9" x14ac:dyDescent="0.25">
      <c r="A286">
        <v>2020</v>
      </c>
      <c r="B286">
        <v>3</v>
      </c>
      <c r="C286" t="str">
        <f t="shared" si="25"/>
        <v>7</v>
      </c>
      <c r="D286" t="s">
        <v>254</v>
      </c>
      <c r="E286" s="2">
        <f t="shared" si="22"/>
        <v>43897</v>
      </c>
      <c r="F286" s="2" t="str">
        <f t="shared" si="23"/>
        <v xml:space="preserve"> 3pm</v>
      </c>
      <c r="G286" s="2" t="s">
        <v>376</v>
      </c>
      <c r="H286" t="str">
        <f t="shared" si="24"/>
        <v>Leicester City</v>
      </c>
      <c r="I286" t="str">
        <f t="shared" si="26"/>
        <v>Aston Villa</v>
      </c>
    </row>
    <row r="287" spans="1:9" x14ac:dyDescent="0.25">
      <c r="A287">
        <v>2020</v>
      </c>
      <c r="B287">
        <v>3</v>
      </c>
      <c r="C287" t="str">
        <f t="shared" si="25"/>
        <v>7</v>
      </c>
      <c r="D287" t="s">
        <v>255</v>
      </c>
      <c r="E287" s="2">
        <f t="shared" si="22"/>
        <v>43897</v>
      </c>
      <c r="F287" s="2" t="str">
        <f t="shared" si="23"/>
        <v xml:space="preserve"> 3pm</v>
      </c>
      <c r="G287" s="2" t="s">
        <v>376</v>
      </c>
      <c r="H287" t="str">
        <f t="shared" si="24"/>
        <v>Liverpool</v>
      </c>
      <c r="I287" t="str">
        <f t="shared" si="26"/>
        <v>Bournemouth</v>
      </c>
    </row>
    <row r="288" spans="1:9" x14ac:dyDescent="0.25">
      <c r="A288">
        <v>2020</v>
      </c>
      <c r="B288">
        <v>3</v>
      </c>
      <c r="C288" t="str">
        <f t="shared" si="25"/>
        <v>7</v>
      </c>
      <c r="D288" t="s">
        <v>256</v>
      </c>
      <c r="E288" s="2">
        <f t="shared" si="22"/>
        <v>43897</v>
      </c>
      <c r="F288" s="2" t="str">
        <f t="shared" si="23"/>
        <v xml:space="preserve"> 3pm</v>
      </c>
      <c r="G288" s="2" t="s">
        <v>376</v>
      </c>
      <c r="H288" t="str">
        <f t="shared" si="24"/>
        <v>Manchester United</v>
      </c>
      <c r="I288" t="str">
        <f t="shared" si="26"/>
        <v>Manchester City</v>
      </c>
    </row>
    <row r="289" spans="1:9" x14ac:dyDescent="0.25">
      <c r="A289">
        <v>2020</v>
      </c>
      <c r="B289">
        <v>3</v>
      </c>
      <c r="C289" t="str">
        <f t="shared" si="25"/>
        <v>7</v>
      </c>
      <c r="D289" t="s">
        <v>257</v>
      </c>
      <c r="E289" s="2">
        <f t="shared" si="22"/>
        <v>43897</v>
      </c>
      <c r="F289" s="2" t="str">
        <f t="shared" si="23"/>
        <v xml:space="preserve"> 3pm</v>
      </c>
      <c r="G289" s="2" t="s">
        <v>376</v>
      </c>
      <c r="H289" t="str">
        <f t="shared" si="24"/>
        <v>Sheffield United</v>
      </c>
      <c r="I289" t="str">
        <f t="shared" si="26"/>
        <v>Norwich City</v>
      </c>
    </row>
    <row r="290" spans="1:9" x14ac:dyDescent="0.25">
      <c r="A290">
        <v>2020</v>
      </c>
      <c r="B290">
        <v>3</v>
      </c>
      <c r="C290" t="str">
        <f t="shared" si="25"/>
        <v>7</v>
      </c>
      <c r="D290" t="s">
        <v>258</v>
      </c>
      <c r="E290" s="2">
        <f t="shared" si="22"/>
        <v>43897</v>
      </c>
      <c r="F290" s="2" t="str">
        <f t="shared" si="23"/>
        <v xml:space="preserve"> 3pm</v>
      </c>
      <c r="G290" s="2" t="s">
        <v>376</v>
      </c>
      <c r="H290" t="str">
        <f t="shared" si="24"/>
        <v>Southampton</v>
      </c>
      <c r="I290" t="str">
        <f t="shared" si="26"/>
        <v>Newcastle United</v>
      </c>
    </row>
    <row r="291" spans="1:9" x14ac:dyDescent="0.25">
      <c r="A291">
        <v>2020</v>
      </c>
      <c r="B291">
        <v>3</v>
      </c>
      <c r="C291" t="str">
        <f t="shared" si="25"/>
        <v>7</v>
      </c>
      <c r="D291" t="s">
        <v>259</v>
      </c>
      <c r="E291" s="2">
        <f t="shared" si="22"/>
        <v>43897</v>
      </c>
      <c r="F291" s="2" t="str">
        <f t="shared" si="23"/>
        <v xml:space="preserve"> 3pm</v>
      </c>
      <c r="G291" s="2" t="s">
        <v>376</v>
      </c>
      <c r="H291" t="str">
        <f t="shared" si="24"/>
        <v>Wolves</v>
      </c>
      <c r="I291" t="str">
        <f t="shared" si="26"/>
        <v>Brighton</v>
      </c>
    </row>
    <row r="292" spans="1:9" x14ac:dyDescent="0.25">
      <c r="A292">
        <v>2020</v>
      </c>
      <c r="B292">
        <v>3</v>
      </c>
      <c r="C292" t="str">
        <f t="shared" si="25"/>
        <v>14</v>
      </c>
      <c r="D292" t="s">
        <v>260</v>
      </c>
      <c r="E292" s="2">
        <f t="shared" si="22"/>
        <v>43904</v>
      </c>
      <c r="F292" s="2" t="str">
        <f t="shared" si="23"/>
        <v xml:space="preserve"> 3pm</v>
      </c>
      <c r="G292" s="2" t="s">
        <v>376</v>
      </c>
      <c r="H292" t="str">
        <f t="shared" si="24"/>
        <v>Bournemouth</v>
      </c>
      <c r="I292" t="str">
        <f t="shared" si="26"/>
        <v>Crystal Palace</v>
      </c>
    </row>
    <row r="293" spans="1:9" x14ac:dyDescent="0.25">
      <c r="A293">
        <v>2020</v>
      </c>
      <c r="B293">
        <v>3</v>
      </c>
      <c r="C293" t="str">
        <f t="shared" si="25"/>
        <v>14</v>
      </c>
      <c r="D293" t="s">
        <v>261</v>
      </c>
      <c r="E293" s="2">
        <f t="shared" si="22"/>
        <v>43904</v>
      </c>
      <c r="F293" s="2" t="str">
        <f t="shared" si="23"/>
        <v xml:space="preserve"> 3pm</v>
      </c>
      <c r="G293" s="2" t="s">
        <v>376</v>
      </c>
      <c r="H293" t="str">
        <f t="shared" si="24"/>
        <v>Aston Villa</v>
      </c>
      <c r="I293" t="str">
        <f t="shared" si="26"/>
        <v>Chelsea</v>
      </c>
    </row>
    <row r="294" spans="1:9" x14ac:dyDescent="0.25">
      <c r="A294">
        <v>2020</v>
      </c>
      <c r="B294">
        <v>3</v>
      </c>
      <c r="C294" t="str">
        <f t="shared" si="25"/>
        <v>14</v>
      </c>
      <c r="D294" t="s">
        <v>262</v>
      </c>
      <c r="E294" s="2">
        <f t="shared" si="22"/>
        <v>43904</v>
      </c>
      <c r="F294" s="2" t="str">
        <f t="shared" si="23"/>
        <v xml:space="preserve"> 3pm</v>
      </c>
      <c r="G294" s="2" t="s">
        <v>376</v>
      </c>
      <c r="H294" t="str">
        <f t="shared" si="24"/>
        <v>Brighton</v>
      </c>
      <c r="I294" t="str">
        <f t="shared" si="26"/>
        <v>Arsenal</v>
      </c>
    </row>
    <row r="295" spans="1:9" x14ac:dyDescent="0.25">
      <c r="A295">
        <v>2020</v>
      </c>
      <c r="B295">
        <v>3</v>
      </c>
      <c r="C295" t="str">
        <f t="shared" si="25"/>
        <v>14</v>
      </c>
      <c r="D295" t="s">
        <v>263</v>
      </c>
      <c r="E295" s="2">
        <f t="shared" si="22"/>
        <v>43904</v>
      </c>
      <c r="F295" s="2" t="str">
        <f t="shared" si="23"/>
        <v xml:space="preserve"> 3pm</v>
      </c>
      <c r="G295" s="2" t="s">
        <v>376</v>
      </c>
      <c r="H295" t="str">
        <f t="shared" si="24"/>
        <v>Everton</v>
      </c>
      <c r="I295" t="str">
        <f t="shared" si="26"/>
        <v>Liverpool</v>
      </c>
    </row>
    <row r="296" spans="1:9" x14ac:dyDescent="0.25">
      <c r="A296">
        <v>2020</v>
      </c>
      <c r="B296">
        <v>3</v>
      </c>
      <c r="C296" t="str">
        <f t="shared" si="25"/>
        <v>14</v>
      </c>
      <c r="D296" t="s">
        <v>264</v>
      </c>
      <c r="E296" s="2">
        <f t="shared" si="22"/>
        <v>43904</v>
      </c>
      <c r="F296" s="2" t="str">
        <f t="shared" si="23"/>
        <v xml:space="preserve"> 3pm</v>
      </c>
      <c r="G296" s="2" t="s">
        <v>376</v>
      </c>
      <c r="H296" t="str">
        <f t="shared" si="24"/>
        <v>Manchester City</v>
      </c>
      <c r="I296" t="str">
        <f t="shared" si="26"/>
        <v>Burnley</v>
      </c>
    </row>
    <row r="297" spans="1:9" x14ac:dyDescent="0.25">
      <c r="A297">
        <v>2020</v>
      </c>
      <c r="B297">
        <v>3</v>
      </c>
      <c r="C297" t="str">
        <f t="shared" si="25"/>
        <v>14</v>
      </c>
      <c r="D297" t="s">
        <v>265</v>
      </c>
      <c r="E297" s="2">
        <f t="shared" si="22"/>
        <v>43904</v>
      </c>
      <c r="F297" s="2" t="str">
        <f t="shared" si="23"/>
        <v xml:space="preserve"> 3pm</v>
      </c>
      <c r="G297" s="2" t="s">
        <v>376</v>
      </c>
      <c r="H297" t="str">
        <f t="shared" si="24"/>
        <v>Newcastle United</v>
      </c>
      <c r="I297" t="str">
        <f t="shared" si="26"/>
        <v>Sheffield United</v>
      </c>
    </row>
    <row r="298" spans="1:9" x14ac:dyDescent="0.25">
      <c r="A298">
        <v>2020</v>
      </c>
      <c r="B298">
        <v>3</v>
      </c>
      <c r="C298" t="str">
        <f t="shared" si="25"/>
        <v>14</v>
      </c>
      <c r="D298" t="s">
        <v>266</v>
      </c>
      <c r="E298" s="2">
        <f t="shared" si="22"/>
        <v>43904</v>
      </c>
      <c r="F298" s="2" t="str">
        <f t="shared" si="23"/>
        <v xml:space="preserve"> 3pm</v>
      </c>
      <c r="G298" s="2" t="s">
        <v>376</v>
      </c>
      <c r="H298" t="str">
        <f t="shared" si="24"/>
        <v>Norwich City</v>
      </c>
      <c r="I298" t="str">
        <f t="shared" si="26"/>
        <v>Southampton</v>
      </c>
    </row>
    <row r="299" spans="1:9" x14ac:dyDescent="0.25">
      <c r="A299">
        <v>2020</v>
      </c>
      <c r="B299">
        <v>3</v>
      </c>
      <c r="C299" t="str">
        <f t="shared" si="25"/>
        <v>14</v>
      </c>
      <c r="D299" t="s">
        <v>267</v>
      </c>
      <c r="E299" s="2">
        <f t="shared" si="22"/>
        <v>43904</v>
      </c>
      <c r="F299" s="2" t="str">
        <f t="shared" si="23"/>
        <v xml:space="preserve"> 3pm</v>
      </c>
      <c r="G299" s="2" t="s">
        <v>376</v>
      </c>
      <c r="H299" t="str">
        <f t="shared" si="24"/>
        <v>Tottenham Hotspur</v>
      </c>
      <c r="I299" t="str">
        <f t="shared" si="26"/>
        <v>Manchester United</v>
      </c>
    </row>
    <row r="300" spans="1:9" x14ac:dyDescent="0.25">
      <c r="A300">
        <v>2020</v>
      </c>
      <c r="B300">
        <v>3</v>
      </c>
      <c r="C300" t="str">
        <f t="shared" si="25"/>
        <v>14</v>
      </c>
      <c r="D300" t="s">
        <v>268</v>
      </c>
      <c r="E300" s="2">
        <f t="shared" si="22"/>
        <v>43904</v>
      </c>
      <c r="F300" s="2" t="str">
        <f t="shared" si="23"/>
        <v xml:space="preserve"> 3pm</v>
      </c>
      <c r="G300" s="2" t="s">
        <v>376</v>
      </c>
      <c r="H300" t="str">
        <f t="shared" si="24"/>
        <v>Watford</v>
      </c>
      <c r="I300" t="str">
        <f t="shared" si="26"/>
        <v>Leicester City</v>
      </c>
    </row>
    <row r="301" spans="1:9" x14ac:dyDescent="0.25">
      <c r="A301">
        <v>2020</v>
      </c>
      <c r="B301">
        <v>3</v>
      </c>
      <c r="C301" t="str">
        <f t="shared" si="25"/>
        <v>14</v>
      </c>
      <c r="D301" t="s">
        <v>269</v>
      </c>
      <c r="E301" s="2">
        <f t="shared" si="22"/>
        <v>43904</v>
      </c>
      <c r="F301" s="2" t="str">
        <f t="shared" si="23"/>
        <v xml:space="preserve"> 3pm</v>
      </c>
      <c r="G301" s="2" t="s">
        <v>376</v>
      </c>
      <c r="H301" t="str">
        <f t="shared" si="24"/>
        <v>West Ham United</v>
      </c>
      <c r="I301" t="str">
        <f t="shared" si="26"/>
        <v>Wolves</v>
      </c>
    </row>
    <row r="302" spans="1:9" x14ac:dyDescent="0.25">
      <c r="A302">
        <v>2020</v>
      </c>
      <c r="B302">
        <v>3</v>
      </c>
      <c r="C302" t="str">
        <f t="shared" si="25"/>
        <v>21</v>
      </c>
      <c r="D302" t="s">
        <v>270</v>
      </c>
      <c r="E302" s="2">
        <f t="shared" si="22"/>
        <v>43911</v>
      </c>
      <c r="F302" s="2" t="str">
        <f t="shared" si="23"/>
        <v xml:space="preserve"> 3pm</v>
      </c>
      <c r="G302" s="2" t="s">
        <v>376</v>
      </c>
      <c r="H302" t="str">
        <f t="shared" si="24"/>
        <v>Burnley</v>
      </c>
      <c r="I302" t="str">
        <f t="shared" si="26"/>
        <v>Watford</v>
      </c>
    </row>
    <row r="303" spans="1:9" x14ac:dyDescent="0.25">
      <c r="A303">
        <v>2020</v>
      </c>
      <c r="B303">
        <v>3</v>
      </c>
      <c r="C303" t="str">
        <f t="shared" si="25"/>
        <v>21</v>
      </c>
      <c r="D303" t="s">
        <v>271</v>
      </c>
      <c r="E303" s="2">
        <f t="shared" si="22"/>
        <v>43911</v>
      </c>
      <c r="F303" s="2" t="str">
        <f t="shared" si="23"/>
        <v xml:space="preserve"> 3pm</v>
      </c>
      <c r="G303" s="2" t="s">
        <v>376</v>
      </c>
      <c r="H303" t="str">
        <f t="shared" si="24"/>
        <v>Chelsea</v>
      </c>
      <c r="I303" t="str">
        <f t="shared" si="26"/>
        <v>Manchester City</v>
      </c>
    </row>
    <row r="304" spans="1:9" x14ac:dyDescent="0.25">
      <c r="A304">
        <v>2020</v>
      </c>
      <c r="B304">
        <v>3</v>
      </c>
      <c r="C304" t="str">
        <f t="shared" si="25"/>
        <v>21</v>
      </c>
      <c r="D304" t="s">
        <v>272</v>
      </c>
      <c r="E304" s="2">
        <f t="shared" si="22"/>
        <v>43911</v>
      </c>
      <c r="F304" s="2" t="str">
        <f t="shared" si="23"/>
        <v xml:space="preserve"> 3pm</v>
      </c>
      <c r="G304" s="2" t="s">
        <v>376</v>
      </c>
      <c r="H304" t="str">
        <f t="shared" si="24"/>
        <v>Leicester City</v>
      </c>
      <c r="I304" t="str">
        <f t="shared" si="26"/>
        <v>Brighton</v>
      </c>
    </row>
    <row r="305" spans="1:9" x14ac:dyDescent="0.25">
      <c r="A305">
        <v>2020</v>
      </c>
      <c r="B305">
        <v>3</v>
      </c>
      <c r="C305" t="str">
        <f t="shared" si="25"/>
        <v>21</v>
      </c>
      <c r="D305" t="s">
        <v>273</v>
      </c>
      <c r="E305" s="2">
        <f t="shared" si="22"/>
        <v>43911</v>
      </c>
      <c r="F305" s="2" t="str">
        <f t="shared" si="23"/>
        <v xml:space="preserve"> 3pm</v>
      </c>
      <c r="G305" s="2" t="s">
        <v>376</v>
      </c>
      <c r="H305" t="str">
        <f t="shared" si="24"/>
        <v>Liverpool</v>
      </c>
      <c r="I305" t="str">
        <f t="shared" si="26"/>
        <v>Crystal Palace</v>
      </c>
    </row>
    <row r="306" spans="1:9" x14ac:dyDescent="0.25">
      <c r="A306">
        <v>2020</v>
      </c>
      <c r="B306">
        <v>3</v>
      </c>
      <c r="C306" t="str">
        <f t="shared" si="25"/>
        <v>21</v>
      </c>
      <c r="D306" t="s">
        <v>274</v>
      </c>
      <c r="E306" s="2">
        <f t="shared" si="22"/>
        <v>43911</v>
      </c>
      <c r="F306" s="2" t="str">
        <f t="shared" si="23"/>
        <v xml:space="preserve"> 3pm</v>
      </c>
      <c r="G306" s="2" t="s">
        <v>376</v>
      </c>
      <c r="H306" t="str">
        <f t="shared" si="24"/>
        <v>Manchester United</v>
      </c>
      <c r="I306" t="str">
        <f t="shared" si="26"/>
        <v>Sheffield United</v>
      </c>
    </row>
    <row r="307" spans="1:9" x14ac:dyDescent="0.25">
      <c r="A307">
        <v>2020</v>
      </c>
      <c r="B307">
        <v>3</v>
      </c>
      <c r="C307" t="str">
        <f t="shared" si="25"/>
        <v>21</v>
      </c>
      <c r="D307" t="s">
        <v>275</v>
      </c>
      <c r="E307" s="2">
        <f t="shared" si="22"/>
        <v>43911</v>
      </c>
      <c r="F307" s="2" t="str">
        <f t="shared" si="23"/>
        <v xml:space="preserve"> 3pm</v>
      </c>
      <c r="G307" s="2" t="s">
        <v>376</v>
      </c>
      <c r="H307" t="str">
        <f t="shared" si="24"/>
        <v>Newcastle United</v>
      </c>
      <c r="I307" t="str">
        <f t="shared" si="26"/>
        <v>Aston Villa</v>
      </c>
    </row>
    <row r="308" spans="1:9" x14ac:dyDescent="0.25">
      <c r="A308">
        <v>2020</v>
      </c>
      <c r="B308">
        <v>3</v>
      </c>
      <c r="C308" t="str">
        <f t="shared" si="25"/>
        <v>21</v>
      </c>
      <c r="D308" t="s">
        <v>276</v>
      </c>
      <c r="E308" s="2">
        <f t="shared" si="22"/>
        <v>43911</v>
      </c>
      <c r="F308" s="2" t="str">
        <f t="shared" si="23"/>
        <v xml:space="preserve"> 3pm</v>
      </c>
      <c r="G308" s="2" t="s">
        <v>376</v>
      </c>
      <c r="H308" t="str">
        <f t="shared" si="24"/>
        <v>Norwich City</v>
      </c>
      <c r="I308" t="str">
        <f t="shared" si="26"/>
        <v>Everton</v>
      </c>
    </row>
    <row r="309" spans="1:9" x14ac:dyDescent="0.25">
      <c r="A309">
        <v>2020</v>
      </c>
      <c r="B309">
        <v>3</v>
      </c>
      <c r="C309" t="str">
        <f t="shared" si="25"/>
        <v>21</v>
      </c>
      <c r="D309" t="s">
        <v>277</v>
      </c>
      <c r="E309" s="2">
        <f t="shared" si="22"/>
        <v>43911</v>
      </c>
      <c r="F309" s="2" t="str">
        <f t="shared" si="23"/>
        <v xml:space="preserve"> 3pm</v>
      </c>
      <c r="G309" s="2" t="s">
        <v>376</v>
      </c>
      <c r="H309" t="str">
        <f t="shared" si="24"/>
        <v>Southampton</v>
      </c>
      <c r="I309" t="str">
        <f t="shared" si="26"/>
        <v>Arsenal</v>
      </c>
    </row>
    <row r="310" spans="1:9" x14ac:dyDescent="0.25">
      <c r="A310">
        <v>2020</v>
      </c>
      <c r="B310">
        <v>3</v>
      </c>
      <c r="C310" t="str">
        <f t="shared" si="25"/>
        <v>21</v>
      </c>
      <c r="D310" t="s">
        <v>278</v>
      </c>
      <c r="E310" s="2">
        <f t="shared" si="22"/>
        <v>43911</v>
      </c>
      <c r="F310" s="2" t="str">
        <f t="shared" si="23"/>
        <v xml:space="preserve"> 3pm</v>
      </c>
      <c r="G310" s="2" t="s">
        <v>376</v>
      </c>
      <c r="H310" t="str">
        <f t="shared" si="24"/>
        <v>Tottenham Hotspur</v>
      </c>
      <c r="I310" t="str">
        <f t="shared" si="26"/>
        <v>West Ham United</v>
      </c>
    </row>
    <row r="311" spans="1:9" x14ac:dyDescent="0.25">
      <c r="A311">
        <v>2020</v>
      </c>
      <c r="B311">
        <v>3</v>
      </c>
      <c r="C311" t="str">
        <f t="shared" si="25"/>
        <v>21</v>
      </c>
      <c r="D311" t="s">
        <v>279</v>
      </c>
      <c r="E311" s="2">
        <f t="shared" si="22"/>
        <v>43911</v>
      </c>
      <c r="F311" s="2" t="str">
        <f t="shared" si="23"/>
        <v xml:space="preserve"> 3pm</v>
      </c>
      <c r="G311" s="2" t="s">
        <v>376</v>
      </c>
      <c r="H311" t="str">
        <f t="shared" si="24"/>
        <v>Wolves</v>
      </c>
      <c r="I311" t="str">
        <f t="shared" si="26"/>
        <v>Bournemouth</v>
      </c>
    </row>
    <row r="312" spans="1:9" x14ac:dyDescent="0.25">
      <c r="A312">
        <v>2020</v>
      </c>
      <c r="B312">
        <v>4</v>
      </c>
      <c r="C312" t="str">
        <f t="shared" si="25"/>
        <v>4</v>
      </c>
      <c r="D312" t="s">
        <v>280</v>
      </c>
      <c r="E312" s="2">
        <f t="shared" si="22"/>
        <v>43925</v>
      </c>
      <c r="F312" s="2" t="str">
        <f t="shared" si="23"/>
        <v xml:space="preserve"> 3pm</v>
      </c>
      <c r="G312" s="2" t="s">
        <v>376</v>
      </c>
      <c r="H312" t="str">
        <f t="shared" si="24"/>
        <v>Bournemouth</v>
      </c>
      <c r="I312" t="str">
        <f t="shared" si="26"/>
        <v>Newcastle United</v>
      </c>
    </row>
    <row r="313" spans="1:9" x14ac:dyDescent="0.25">
      <c r="A313">
        <v>2020</v>
      </c>
      <c r="B313">
        <v>4</v>
      </c>
      <c r="C313" t="str">
        <f t="shared" si="25"/>
        <v>4</v>
      </c>
      <c r="D313" t="s">
        <v>281</v>
      </c>
      <c r="E313" s="2">
        <f t="shared" si="22"/>
        <v>43925</v>
      </c>
      <c r="F313" s="2" t="str">
        <f t="shared" si="23"/>
        <v xml:space="preserve"> 3pm</v>
      </c>
      <c r="G313" s="2" t="s">
        <v>376</v>
      </c>
      <c r="H313" t="str">
        <f t="shared" si="24"/>
        <v>Arsenal</v>
      </c>
      <c r="I313" t="str">
        <f t="shared" si="26"/>
        <v>Norwich City</v>
      </c>
    </row>
    <row r="314" spans="1:9" x14ac:dyDescent="0.25">
      <c r="A314">
        <v>2020</v>
      </c>
      <c r="B314">
        <v>4</v>
      </c>
      <c r="C314" t="str">
        <f t="shared" si="25"/>
        <v>4</v>
      </c>
      <c r="D314" t="s">
        <v>282</v>
      </c>
      <c r="E314" s="2">
        <f t="shared" si="22"/>
        <v>43925</v>
      </c>
      <c r="F314" s="2" t="str">
        <f t="shared" si="23"/>
        <v xml:space="preserve"> 3pm</v>
      </c>
      <c r="G314" s="2" t="s">
        <v>376</v>
      </c>
      <c r="H314" t="str">
        <f t="shared" si="24"/>
        <v>Aston Villa</v>
      </c>
      <c r="I314" t="str">
        <f t="shared" si="26"/>
        <v>Wolves</v>
      </c>
    </row>
    <row r="315" spans="1:9" x14ac:dyDescent="0.25">
      <c r="A315">
        <v>2020</v>
      </c>
      <c r="B315">
        <v>4</v>
      </c>
      <c r="C315" t="str">
        <f t="shared" si="25"/>
        <v>4</v>
      </c>
      <c r="D315" t="s">
        <v>283</v>
      </c>
      <c r="E315" s="2">
        <f t="shared" si="22"/>
        <v>43925</v>
      </c>
      <c r="F315" s="2" t="str">
        <f t="shared" si="23"/>
        <v xml:space="preserve"> 3pm</v>
      </c>
      <c r="G315" s="2" t="s">
        <v>376</v>
      </c>
      <c r="H315" t="str">
        <f t="shared" si="24"/>
        <v>Brighton</v>
      </c>
      <c r="I315" t="str">
        <f t="shared" si="26"/>
        <v>Manchester United</v>
      </c>
    </row>
    <row r="316" spans="1:9" x14ac:dyDescent="0.25">
      <c r="A316">
        <v>2020</v>
      </c>
      <c r="B316">
        <v>4</v>
      </c>
      <c r="C316" t="str">
        <f t="shared" si="25"/>
        <v>4</v>
      </c>
      <c r="D316" t="s">
        <v>284</v>
      </c>
      <c r="E316" s="2">
        <f t="shared" si="22"/>
        <v>43925</v>
      </c>
      <c r="F316" s="2" t="str">
        <f t="shared" si="23"/>
        <v xml:space="preserve"> 3pm</v>
      </c>
      <c r="G316" s="2" t="s">
        <v>376</v>
      </c>
      <c r="H316" t="str">
        <f t="shared" si="24"/>
        <v>Crystal Palace</v>
      </c>
      <c r="I316" t="str">
        <f t="shared" si="26"/>
        <v>Burnley</v>
      </c>
    </row>
    <row r="317" spans="1:9" x14ac:dyDescent="0.25">
      <c r="A317">
        <v>2020</v>
      </c>
      <c r="B317">
        <v>4</v>
      </c>
      <c r="C317" t="str">
        <f t="shared" si="25"/>
        <v>4</v>
      </c>
      <c r="D317" t="s">
        <v>285</v>
      </c>
      <c r="E317" s="2">
        <f t="shared" si="22"/>
        <v>43925</v>
      </c>
      <c r="F317" s="2" t="str">
        <f t="shared" si="23"/>
        <v xml:space="preserve"> 3pm</v>
      </c>
      <c r="G317" s="2" t="s">
        <v>376</v>
      </c>
      <c r="H317" t="str">
        <f t="shared" si="24"/>
        <v>Everton</v>
      </c>
      <c r="I317" t="str">
        <f t="shared" si="26"/>
        <v>Leicester City</v>
      </c>
    </row>
    <row r="318" spans="1:9" x14ac:dyDescent="0.25">
      <c r="A318">
        <v>2020</v>
      </c>
      <c r="B318">
        <v>4</v>
      </c>
      <c r="C318" t="str">
        <f t="shared" si="25"/>
        <v>4</v>
      </c>
      <c r="D318" t="s">
        <v>286</v>
      </c>
      <c r="E318" s="2">
        <f t="shared" si="22"/>
        <v>43925</v>
      </c>
      <c r="F318" s="2" t="str">
        <f t="shared" si="23"/>
        <v xml:space="preserve"> 3pm</v>
      </c>
      <c r="G318" s="2" t="s">
        <v>376</v>
      </c>
      <c r="H318" t="str">
        <f t="shared" si="24"/>
        <v>Manchester City</v>
      </c>
      <c r="I318" t="str">
        <f t="shared" si="26"/>
        <v>Liverpool</v>
      </c>
    </row>
    <row r="319" spans="1:9" x14ac:dyDescent="0.25">
      <c r="A319">
        <v>2020</v>
      </c>
      <c r="B319">
        <v>4</v>
      </c>
      <c r="C319" t="str">
        <f t="shared" si="25"/>
        <v>4</v>
      </c>
      <c r="D319" t="s">
        <v>287</v>
      </c>
      <c r="E319" s="2">
        <f t="shared" si="22"/>
        <v>43925</v>
      </c>
      <c r="F319" s="2" t="str">
        <f t="shared" si="23"/>
        <v xml:space="preserve"> 3pm</v>
      </c>
      <c r="G319" s="2" t="s">
        <v>376</v>
      </c>
      <c r="H319" t="str">
        <f t="shared" si="24"/>
        <v>Sheffield United</v>
      </c>
      <c r="I319" t="str">
        <f t="shared" si="26"/>
        <v>Tottenham Hotspur</v>
      </c>
    </row>
    <row r="320" spans="1:9" x14ac:dyDescent="0.25">
      <c r="A320">
        <v>2020</v>
      </c>
      <c r="B320">
        <v>4</v>
      </c>
      <c r="C320" t="str">
        <f t="shared" si="25"/>
        <v>4</v>
      </c>
      <c r="D320" t="s">
        <v>288</v>
      </c>
      <c r="E320" s="2">
        <f t="shared" si="22"/>
        <v>43925</v>
      </c>
      <c r="F320" s="2" t="str">
        <f t="shared" si="23"/>
        <v xml:space="preserve"> 3pm</v>
      </c>
      <c r="G320" s="2" t="s">
        <v>376</v>
      </c>
      <c r="H320" t="str">
        <f t="shared" si="24"/>
        <v>Watford</v>
      </c>
      <c r="I320" t="str">
        <f t="shared" si="26"/>
        <v>Southampton</v>
      </c>
    </row>
    <row r="321" spans="1:9" x14ac:dyDescent="0.25">
      <c r="A321">
        <v>2020</v>
      </c>
      <c r="B321">
        <v>4</v>
      </c>
      <c r="C321" t="str">
        <f t="shared" si="25"/>
        <v>4</v>
      </c>
      <c r="D321" t="s">
        <v>289</v>
      </c>
      <c r="E321" s="2">
        <f t="shared" si="22"/>
        <v>43925</v>
      </c>
      <c r="F321" s="2" t="str">
        <f t="shared" si="23"/>
        <v xml:space="preserve"> 3pm</v>
      </c>
      <c r="G321" s="2" t="s">
        <v>376</v>
      </c>
      <c r="H321" t="str">
        <f t="shared" si="24"/>
        <v>West Ham United</v>
      </c>
      <c r="I321" t="str">
        <f t="shared" si="26"/>
        <v>Chelsea</v>
      </c>
    </row>
    <row r="322" spans="1:9" x14ac:dyDescent="0.25">
      <c r="A322">
        <v>2020</v>
      </c>
      <c r="B322">
        <v>4</v>
      </c>
      <c r="C322" t="str">
        <f t="shared" si="25"/>
        <v>11</v>
      </c>
      <c r="D322" t="s">
        <v>290</v>
      </c>
      <c r="E322" s="2">
        <f t="shared" si="22"/>
        <v>43932</v>
      </c>
      <c r="F322" s="2" t="str">
        <f t="shared" si="23"/>
        <v xml:space="preserve"> 3pm</v>
      </c>
      <c r="G322" s="2" t="s">
        <v>376</v>
      </c>
      <c r="H322" t="str">
        <f t="shared" si="24"/>
        <v>Burnley</v>
      </c>
      <c r="I322" t="str">
        <f t="shared" si="26"/>
        <v>Sheffield United</v>
      </c>
    </row>
    <row r="323" spans="1:9" x14ac:dyDescent="0.25">
      <c r="A323">
        <v>2020</v>
      </c>
      <c r="B323">
        <v>4</v>
      </c>
      <c r="C323" t="str">
        <f t="shared" si="25"/>
        <v>11</v>
      </c>
      <c r="D323" t="s">
        <v>291</v>
      </c>
      <c r="E323" s="2">
        <f t="shared" ref="E323:E381" si="27">DATE(A323, B323, C323)</f>
        <v>43932</v>
      </c>
      <c r="F323" s="2" t="str">
        <f t="shared" ref="F323:F381" si="28">RIGHT(D323, (LEN(D323) - FIND(", ", D323)))</f>
        <v xml:space="preserve"> 3pm</v>
      </c>
      <c r="G323" s="2" t="s">
        <v>376</v>
      </c>
      <c r="H323" t="str">
        <f t="shared" ref="H323:H381" si="29">RIGHT(LEFT(D323,FIND(" vs ",D323,1)-1), (LEN(LEFT(D323,FIND(" vs ",D323,1)-1))-FIND(":",D323, 1) - 1))</f>
        <v>Chelsea</v>
      </c>
      <c r="I323" t="str">
        <f t="shared" si="26"/>
        <v>Watford</v>
      </c>
    </row>
    <row r="324" spans="1:9" x14ac:dyDescent="0.25">
      <c r="A324">
        <v>2020</v>
      </c>
      <c r="B324">
        <v>4</v>
      </c>
      <c r="C324" t="str">
        <f t="shared" si="25"/>
        <v>11</v>
      </c>
      <c r="D324" t="s">
        <v>292</v>
      </c>
      <c r="E324" s="2">
        <f t="shared" si="27"/>
        <v>43932</v>
      </c>
      <c r="F324" s="2" t="str">
        <f t="shared" si="28"/>
        <v xml:space="preserve"> 3pm</v>
      </c>
      <c r="G324" s="2" t="s">
        <v>376</v>
      </c>
      <c r="H324" t="str">
        <f t="shared" si="29"/>
        <v>Leicester City</v>
      </c>
      <c r="I324" t="str">
        <f t="shared" si="26"/>
        <v>Crystal Palace</v>
      </c>
    </row>
    <row r="325" spans="1:9" x14ac:dyDescent="0.25">
      <c r="A325">
        <v>2020</v>
      </c>
      <c r="B325">
        <v>4</v>
      </c>
      <c r="C325" t="str">
        <f t="shared" ref="C325:C381" si="30">LEFT(D325,FIND(":",D325,1)-1)</f>
        <v>11</v>
      </c>
      <c r="D325" t="s">
        <v>293</v>
      </c>
      <c r="E325" s="2">
        <f t="shared" si="27"/>
        <v>43932</v>
      </c>
      <c r="F325" s="2" t="str">
        <f t="shared" si="28"/>
        <v xml:space="preserve"> 3pm</v>
      </c>
      <c r="G325" s="2" t="s">
        <v>376</v>
      </c>
      <c r="H325" t="str">
        <f t="shared" si="29"/>
        <v>Liverpool</v>
      </c>
      <c r="I325" t="str">
        <f t="shared" ref="I325:I381" si="31">LEFT(RIGHT(D325,LEN(D325)-FIND("vs",D325)-2),FIND(", ",RIGHT(D325,LEN(D325)-FIND("vs",D325)-3)))</f>
        <v>Aston Villa</v>
      </c>
    </row>
    <row r="326" spans="1:9" x14ac:dyDescent="0.25">
      <c r="A326">
        <v>2020</v>
      </c>
      <c r="B326">
        <v>4</v>
      </c>
      <c r="C326" t="str">
        <f t="shared" si="30"/>
        <v>11</v>
      </c>
      <c r="D326" t="s">
        <v>294</v>
      </c>
      <c r="E326" s="2">
        <f t="shared" si="27"/>
        <v>43932</v>
      </c>
      <c r="F326" s="2" t="str">
        <f t="shared" si="28"/>
        <v xml:space="preserve"> 3pm</v>
      </c>
      <c r="G326" s="2" t="s">
        <v>376</v>
      </c>
      <c r="H326" t="str">
        <f t="shared" si="29"/>
        <v>Manchester United</v>
      </c>
      <c r="I326" t="str">
        <f t="shared" si="31"/>
        <v>Bournemouth</v>
      </c>
    </row>
    <row r="327" spans="1:9" x14ac:dyDescent="0.25">
      <c r="A327">
        <v>2020</v>
      </c>
      <c r="B327">
        <v>4</v>
      </c>
      <c r="C327" t="str">
        <f t="shared" si="30"/>
        <v>11</v>
      </c>
      <c r="D327" t="s">
        <v>295</v>
      </c>
      <c r="E327" s="2">
        <f t="shared" si="27"/>
        <v>43932</v>
      </c>
      <c r="F327" s="2" t="str">
        <f t="shared" si="28"/>
        <v xml:space="preserve"> 3pm</v>
      </c>
      <c r="G327" s="2" t="s">
        <v>376</v>
      </c>
      <c r="H327" t="str">
        <f t="shared" si="29"/>
        <v>Newcastle United</v>
      </c>
      <c r="I327" t="str">
        <f t="shared" si="31"/>
        <v>West Ham United</v>
      </c>
    </row>
    <row r="328" spans="1:9" x14ac:dyDescent="0.25">
      <c r="A328">
        <v>2020</v>
      </c>
      <c r="B328">
        <v>4</v>
      </c>
      <c r="C328" t="str">
        <f t="shared" si="30"/>
        <v>11</v>
      </c>
      <c r="D328" t="s">
        <v>296</v>
      </c>
      <c r="E328" s="2">
        <f t="shared" si="27"/>
        <v>43932</v>
      </c>
      <c r="F328" s="2" t="str">
        <f t="shared" si="28"/>
        <v xml:space="preserve"> 3pm</v>
      </c>
      <c r="G328" s="2" t="s">
        <v>376</v>
      </c>
      <c r="H328" t="str">
        <f t="shared" si="29"/>
        <v>Norwich City</v>
      </c>
      <c r="I328" t="str">
        <f t="shared" si="31"/>
        <v>Brighton</v>
      </c>
    </row>
    <row r="329" spans="1:9" x14ac:dyDescent="0.25">
      <c r="A329">
        <v>2020</v>
      </c>
      <c r="B329">
        <v>4</v>
      </c>
      <c r="C329" t="str">
        <f t="shared" si="30"/>
        <v>11</v>
      </c>
      <c r="D329" t="s">
        <v>297</v>
      </c>
      <c r="E329" s="2">
        <f t="shared" si="27"/>
        <v>43932</v>
      </c>
      <c r="F329" s="2" t="str">
        <f t="shared" si="28"/>
        <v xml:space="preserve"> 3pm</v>
      </c>
      <c r="G329" s="2" t="s">
        <v>376</v>
      </c>
      <c r="H329" t="str">
        <f t="shared" si="29"/>
        <v>Southampton</v>
      </c>
      <c r="I329" t="str">
        <f t="shared" si="31"/>
        <v>Manchester City</v>
      </c>
    </row>
    <row r="330" spans="1:9" x14ac:dyDescent="0.25">
      <c r="A330">
        <v>2020</v>
      </c>
      <c r="B330">
        <v>4</v>
      </c>
      <c r="C330" t="str">
        <f t="shared" si="30"/>
        <v>11</v>
      </c>
      <c r="D330" t="s">
        <v>298</v>
      </c>
      <c r="E330" s="2">
        <f t="shared" si="27"/>
        <v>43932</v>
      </c>
      <c r="F330" s="2" t="str">
        <f t="shared" si="28"/>
        <v xml:space="preserve"> 3pm</v>
      </c>
      <c r="G330" s="2" t="s">
        <v>376</v>
      </c>
      <c r="H330" t="str">
        <f t="shared" si="29"/>
        <v>Tottenham Hotspur</v>
      </c>
      <c r="I330" t="str">
        <f t="shared" si="31"/>
        <v>Everton</v>
      </c>
    </row>
    <row r="331" spans="1:9" x14ac:dyDescent="0.25">
      <c r="A331">
        <v>2020</v>
      </c>
      <c r="B331">
        <v>4</v>
      </c>
      <c r="C331" t="str">
        <f t="shared" si="30"/>
        <v>11</v>
      </c>
      <c r="D331" t="s">
        <v>299</v>
      </c>
      <c r="E331" s="2">
        <f t="shared" si="27"/>
        <v>43932</v>
      </c>
      <c r="F331" s="2" t="str">
        <f t="shared" si="28"/>
        <v xml:space="preserve"> 3pm</v>
      </c>
      <c r="G331" s="2" t="s">
        <v>376</v>
      </c>
      <c r="H331" t="str">
        <f t="shared" si="29"/>
        <v>Wolves</v>
      </c>
      <c r="I331" t="str">
        <f t="shared" si="31"/>
        <v>Arsenal</v>
      </c>
    </row>
    <row r="332" spans="1:9" x14ac:dyDescent="0.25">
      <c r="A332">
        <v>2020</v>
      </c>
      <c r="B332">
        <v>4</v>
      </c>
      <c r="C332" t="str">
        <f t="shared" si="30"/>
        <v>18</v>
      </c>
      <c r="D332" t="s">
        <v>300</v>
      </c>
      <c r="E332" s="2">
        <f t="shared" si="27"/>
        <v>43939</v>
      </c>
      <c r="F332" s="2" t="str">
        <f t="shared" si="28"/>
        <v xml:space="preserve"> 3pm</v>
      </c>
      <c r="G332" s="2" t="s">
        <v>376</v>
      </c>
      <c r="H332" t="str">
        <f t="shared" si="29"/>
        <v>Bournemouth</v>
      </c>
      <c r="I332" t="str">
        <f t="shared" si="31"/>
        <v>Tottenham Hotspur</v>
      </c>
    </row>
    <row r="333" spans="1:9" x14ac:dyDescent="0.25">
      <c r="A333">
        <v>2020</v>
      </c>
      <c r="B333">
        <v>4</v>
      </c>
      <c r="C333" t="str">
        <f t="shared" si="30"/>
        <v>18</v>
      </c>
      <c r="D333" t="s">
        <v>301</v>
      </c>
      <c r="E333" s="2">
        <f t="shared" si="27"/>
        <v>43939</v>
      </c>
      <c r="F333" s="2" t="str">
        <f t="shared" si="28"/>
        <v xml:space="preserve"> 3pm</v>
      </c>
      <c r="G333" s="2" t="s">
        <v>376</v>
      </c>
      <c r="H333" t="str">
        <f t="shared" si="29"/>
        <v>Arsenal</v>
      </c>
      <c r="I333" t="str">
        <f t="shared" si="31"/>
        <v>Leicester City</v>
      </c>
    </row>
    <row r="334" spans="1:9" x14ac:dyDescent="0.25">
      <c r="A334">
        <v>2020</v>
      </c>
      <c r="B334">
        <v>4</v>
      </c>
      <c r="C334" t="str">
        <f t="shared" si="30"/>
        <v>18</v>
      </c>
      <c r="D334" t="s">
        <v>302</v>
      </c>
      <c r="E334" s="2">
        <f t="shared" si="27"/>
        <v>43939</v>
      </c>
      <c r="F334" s="2" t="str">
        <f t="shared" si="28"/>
        <v xml:space="preserve"> 3pm</v>
      </c>
      <c r="G334" s="2" t="s">
        <v>376</v>
      </c>
      <c r="H334" t="str">
        <f t="shared" si="29"/>
        <v>Aston Villa</v>
      </c>
      <c r="I334" t="str">
        <f t="shared" si="31"/>
        <v>Manchester United</v>
      </c>
    </row>
    <row r="335" spans="1:9" x14ac:dyDescent="0.25">
      <c r="A335">
        <v>2020</v>
      </c>
      <c r="B335">
        <v>4</v>
      </c>
      <c r="C335" t="str">
        <f t="shared" si="30"/>
        <v>18</v>
      </c>
      <c r="D335" t="s">
        <v>303</v>
      </c>
      <c r="E335" s="2">
        <f t="shared" si="27"/>
        <v>43939</v>
      </c>
      <c r="F335" s="2" t="str">
        <f t="shared" si="28"/>
        <v xml:space="preserve"> 3pm</v>
      </c>
      <c r="G335" s="2" t="s">
        <v>376</v>
      </c>
      <c r="H335" t="str">
        <f t="shared" si="29"/>
        <v>Brighton</v>
      </c>
      <c r="I335" t="str">
        <f t="shared" si="31"/>
        <v>Liverpool</v>
      </c>
    </row>
    <row r="336" spans="1:9" x14ac:dyDescent="0.25">
      <c r="A336">
        <v>2020</v>
      </c>
      <c r="B336">
        <v>4</v>
      </c>
      <c r="C336" t="str">
        <f t="shared" si="30"/>
        <v>18</v>
      </c>
      <c r="D336" t="s">
        <v>304</v>
      </c>
      <c r="E336" s="2">
        <f t="shared" si="27"/>
        <v>43939</v>
      </c>
      <c r="F336" s="2" t="str">
        <f t="shared" si="28"/>
        <v xml:space="preserve"> 3pm</v>
      </c>
      <c r="G336" s="2" t="s">
        <v>376</v>
      </c>
      <c r="H336" t="str">
        <f t="shared" si="29"/>
        <v>Crystal Palace</v>
      </c>
      <c r="I336" t="str">
        <f t="shared" si="31"/>
        <v>Chelsea</v>
      </c>
    </row>
    <row r="337" spans="1:9" x14ac:dyDescent="0.25">
      <c r="A337">
        <v>2020</v>
      </c>
      <c r="B337">
        <v>4</v>
      </c>
      <c r="C337" t="str">
        <f t="shared" si="30"/>
        <v>18</v>
      </c>
      <c r="D337" t="s">
        <v>305</v>
      </c>
      <c r="E337" s="2">
        <f t="shared" si="27"/>
        <v>43939</v>
      </c>
      <c r="F337" s="2" t="str">
        <f t="shared" si="28"/>
        <v xml:space="preserve"> 3pm</v>
      </c>
      <c r="G337" s="2" t="s">
        <v>376</v>
      </c>
      <c r="H337" t="str">
        <f t="shared" si="29"/>
        <v>Everton</v>
      </c>
      <c r="I337" t="str">
        <f t="shared" si="31"/>
        <v>Southampton</v>
      </c>
    </row>
    <row r="338" spans="1:9" x14ac:dyDescent="0.25">
      <c r="A338">
        <v>2020</v>
      </c>
      <c r="B338">
        <v>4</v>
      </c>
      <c r="C338" t="str">
        <f t="shared" si="30"/>
        <v>18</v>
      </c>
      <c r="D338" t="s">
        <v>306</v>
      </c>
      <c r="E338" s="2">
        <f t="shared" si="27"/>
        <v>43939</v>
      </c>
      <c r="F338" s="2" t="str">
        <f t="shared" si="28"/>
        <v xml:space="preserve"> 3pm</v>
      </c>
      <c r="G338" s="2" t="s">
        <v>376</v>
      </c>
      <c r="H338" t="str">
        <f t="shared" si="29"/>
        <v>Manchester City</v>
      </c>
      <c r="I338" t="str">
        <f t="shared" si="31"/>
        <v>Newcastle United</v>
      </c>
    </row>
    <row r="339" spans="1:9" x14ac:dyDescent="0.25">
      <c r="A339">
        <v>2020</v>
      </c>
      <c r="B339">
        <v>4</v>
      </c>
      <c r="C339" t="str">
        <f t="shared" si="30"/>
        <v>18</v>
      </c>
      <c r="D339" t="s">
        <v>307</v>
      </c>
      <c r="E339" s="2">
        <f t="shared" si="27"/>
        <v>43939</v>
      </c>
      <c r="F339" s="2" t="str">
        <f t="shared" si="28"/>
        <v xml:space="preserve"> 3pm</v>
      </c>
      <c r="G339" s="2" t="s">
        <v>376</v>
      </c>
      <c r="H339" t="str">
        <f t="shared" si="29"/>
        <v>Sheffield United</v>
      </c>
      <c r="I339" t="str">
        <f t="shared" si="31"/>
        <v>Wolverhampton</v>
      </c>
    </row>
    <row r="340" spans="1:9" x14ac:dyDescent="0.25">
      <c r="A340">
        <v>2020</v>
      </c>
      <c r="B340">
        <v>4</v>
      </c>
      <c r="C340" t="str">
        <f t="shared" si="30"/>
        <v>18</v>
      </c>
      <c r="D340" t="s">
        <v>308</v>
      </c>
      <c r="E340" s="2">
        <f t="shared" si="27"/>
        <v>43939</v>
      </c>
      <c r="F340" s="2" t="str">
        <f t="shared" si="28"/>
        <v xml:space="preserve"> 3pm</v>
      </c>
      <c r="G340" s="2" t="s">
        <v>376</v>
      </c>
      <c r="H340" t="str">
        <f t="shared" si="29"/>
        <v>Watford</v>
      </c>
      <c r="I340" t="str">
        <f t="shared" si="31"/>
        <v>Norwich City</v>
      </c>
    </row>
    <row r="341" spans="1:9" x14ac:dyDescent="0.25">
      <c r="A341">
        <v>2020</v>
      </c>
      <c r="B341">
        <v>4</v>
      </c>
      <c r="C341" t="str">
        <f t="shared" si="30"/>
        <v>18</v>
      </c>
      <c r="D341" t="s">
        <v>309</v>
      </c>
      <c r="E341" s="2">
        <f t="shared" si="27"/>
        <v>43939</v>
      </c>
      <c r="F341" s="2" t="str">
        <f t="shared" si="28"/>
        <v xml:space="preserve"> 3pm</v>
      </c>
      <c r="G341" s="2" t="s">
        <v>376</v>
      </c>
      <c r="H341" t="str">
        <f t="shared" si="29"/>
        <v>West Ham United</v>
      </c>
      <c r="I341" t="str">
        <f t="shared" si="31"/>
        <v>Burnley</v>
      </c>
    </row>
    <row r="342" spans="1:9" x14ac:dyDescent="0.25">
      <c r="A342">
        <v>2020</v>
      </c>
      <c r="B342">
        <v>4</v>
      </c>
      <c r="C342" t="str">
        <f t="shared" si="30"/>
        <v>25</v>
      </c>
      <c r="D342" t="s">
        <v>310</v>
      </c>
      <c r="E342" s="2">
        <f t="shared" si="27"/>
        <v>43946</v>
      </c>
      <c r="F342" s="2" t="str">
        <f t="shared" si="28"/>
        <v xml:space="preserve"> 3pm</v>
      </c>
      <c r="G342" s="2" t="s">
        <v>376</v>
      </c>
      <c r="H342" t="str">
        <f t="shared" si="29"/>
        <v>Bournemouth</v>
      </c>
      <c r="I342" t="str">
        <f t="shared" si="31"/>
        <v>Leicester City</v>
      </c>
    </row>
    <row r="343" spans="1:9" x14ac:dyDescent="0.25">
      <c r="A343">
        <v>2020</v>
      </c>
      <c r="B343">
        <v>4</v>
      </c>
      <c r="C343" t="str">
        <f t="shared" si="30"/>
        <v>25</v>
      </c>
      <c r="D343" t="s">
        <v>311</v>
      </c>
      <c r="E343" s="2">
        <f t="shared" si="27"/>
        <v>43946</v>
      </c>
      <c r="F343" s="2" t="str">
        <f t="shared" si="28"/>
        <v xml:space="preserve"> 3pm</v>
      </c>
      <c r="G343" s="2" t="s">
        <v>376</v>
      </c>
      <c r="H343" t="str">
        <f t="shared" si="29"/>
        <v>Aston Villa</v>
      </c>
      <c r="I343" t="str">
        <f t="shared" si="31"/>
        <v>Crystal Palace</v>
      </c>
    </row>
    <row r="344" spans="1:9" x14ac:dyDescent="0.25">
      <c r="A344">
        <v>2020</v>
      </c>
      <c r="B344">
        <v>4</v>
      </c>
      <c r="C344" t="str">
        <f t="shared" si="30"/>
        <v>25</v>
      </c>
      <c r="D344" t="s">
        <v>312</v>
      </c>
      <c r="E344" s="2">
        <f t="shared" si="27"/>
        <v>43946</v>
      </c>
      <c r="F344" s="2" t="str">
        <f t="shared" si="28"/>
        <v xml:space="preserve"> 3pm</v>
      </c>
      <c r="G344" s="2" t="s">
        <v>376</v>
      </c>
      <c r="H344" t="str">
        <f t="shared" si="29"/>
        <v>Brighton</v>
      </c>
      <c r="I344" t="str">
        <f t="shared" si="31"/>
        <v>Manchester City</v>
      </c>
    </row>
    <row r="345" spans="1:9" x14ac:dyDescent="0.25">
      <c r="A345">
        <v>2020</v>
      </c>
      <c r="B345">
        <v>4</v>
      </c>
      <c r="C345" t="str">
        <f t="shared" si="30"/>
        <v>25</v>
      </c>
      <c r="D345" t="s">
        <v>313</v>
      </c>
      <c r="E345" s="2">
        <f t="shared" si="27"/>
        <v>43946</v>
      </c>
      <c r="F345" s="2" t="str">
        <f t="shared" si="28"/>
        <v xml:space="preserve"> 3pm</v>
      </c>
      <c r="G345" s="2" t="s">
        <v>376</v>
      </c>
      <c r="H345" t="str">
        <f t="shared" si="29"/>
        <v>Liverpool</v>
      </c>
      <c r="I345" t="str">
        <f t="shared" si="31"/>
        <v>Burnley</v>
      </c>
    </row>
    <row r="346" spans="1:9" x14ac:dyDescent="0.25">
      <c r="A346">
        <v>2020</v>
      </c>
      <c r="B346">
        <v>4</v>
      </c>
      <c r="C346" t="str">
        <f t="shared" si="30"/>
        <v>25</v>
      </c>
      <c r="D346" t="s">
        <v>314</v>
      </c>
      <c r="E346" s="2">
        <f t="shared" si="27"/>
        <v>43946</v>
      </c>
      <c r="F346" s="2" t="str">
        <f t="shared" si="28"/>
        <v xml:space="preserve"> 3pm</v>
      </c>
      <c r="G346" s="2" t="s">
        <v>376</v>
      </c>
      <c r="H346" t="str">
        <f t="shared" si="29"/>
        <v>Manchester United</v>
      </c>
      <c r="I346" t="str">
        <f t="shared" si="31"/>
        <v>Southampton</v>
      </c>
    </row>
    <row r="347" spans="1:9" x14ac:dyDescent="0.25">
      <c r="A347">
        <v>2020</v>
      </c>
      <c r="B347">
        <v>4</v>
      </c>
      <c r="C347" t="str">
        <f t="shared" si="30"/>
        <v>25</v>
      </c>
      <c r="D347" t="s">
        <v>315</v>
      </c>
      <c r="E347" s="2">
        <f t="shared" si="27"/>
        <v>43946</v>
      </c>
      <c r="F347" s="2" t="str">
        <f t="shared" si="28"/>
        <v xml:space="preserve"> 3pm</v>
      </c>
      <c r="G347" s="2" t="s">
        <v>376</v>
      </c>
      <c r="H347" t="str">
        <f t="shared" si="29"/>
        <v>Norwich City</v>
      </c>
      <c r="I347" t="str">
        <f t="shared" si="31"/>
        <v>West Ham United</v>
      </c>
    </row>
    <row r="348" spans="1:9" x14ac:dyDescent="0.25">
      <c r="A348">
        <v>2020</v>
      </c>
      <c r="B348">
        <v>4</v>
      </c>
      <c r="C348" t="str">
        <f t="shared" si="30"/>
        <v>25</v>
      </c>
      <c r="D348" t="s">
        <v>316</v>
      </c>
      <c r="E348" s="2">
        <f t="shared" si="27"/>
        <v>43946</v>
      </c>
      <c r="F348" s="2" t="str">
        <f t="shared" si="28"/>
        <v xml:space="preserve"> 3pm</v>
      </c>
      <c r="G348" s="2" t="s">
        <v>376</v>
      </c>
      <c r="H348" t="str">
        <f t="shared" si="29"/>
        <v>Sheffield United</v>
      </c>
      <c r="I348" t="str">
        <f t="shared" si="31"/>
        <v>Chelsea</v>
      </c>
    </row>
    <row r="349" spans="1:9" x14ac:dyDescent="0.25">
      <c r="A349">
        <v>2020</v>
      </c>
      <c r="B349">
        <v>4</v>
      </c>
      <c r="C349" t="str">
        <f t="shared" si="30"/>
        <v>25</v>
      </c>
      <c r="D349" t="s">
        <v>317</v>
      </c>
      <c r="E349" s="2">
        <f t="shared" si="27"/>
        <v>43946</v>
      </c>
      <c r="F349" s="2" t="str">
        <f t="shared" si="28"/>
        <v xml:space="preserve"> 3pm</v>
      </c>
      <c r="G349" s="2" t="s">
        <v>376</v>
      </c>
      <c r="H349" t="str">
        <f t="shared" si="29"/>
        <v>Tottenham Hotspur</v>
      </c>
      <c r="I349" t="str">
        <f t="shared" si="31"/>
        <v>Arsenal</v>
      </c>
    </row>
    <row r="350" spans="1:9" x14ac:dyDescent="0.25">
      <c r="A350">
        <v>2020</v>
      </c>
      <c r="B350">
        <v>4</v>
      </c>
      <c r="C350" t="str">
        <f t="shared" si="30"/>
        <v>25</v>
      </c>
      <c r="D350" t="s">
        <v>318</v>
      </c>
      <c r="E350" s="2">
        <f t="shared" si="27"/>
        <v>43946</v>
      </c>
      <c r="F350" s="2" t="str">
        <f t="shared" si="28"/>
        <v xml:space="preserve"> 3pm</v>
      </c>
      <c r="G350" s="2" t="s">
        <v>376</v>
      </c>
      <c r="H350" t="str">
        <f t="shared" si="29"/>
        <v>Watford</v>
      </c>
      <c r="I350" t="str">
        <f t="shared" si="31"/>
        <v>Newcastle United</v>
      </c>
    </row>
    <row r="351" spans="1:9" x14ac:dyDescent="0.25">
      <c r="A351">
        <v>2020</v>
      </c>
      <c r="B351">
        <v>4</v>
      </c>
      <c r="C351" t="str">
        <f t="shared" si="30"/>
        <v>25</v>
      </c>
      <c r="D351" t="s">
        <v>319</v>
      </c>
      <c r="E351" s="2">
        <f t="shared" si="27"/>
        <v>43946</v>
      </c>
      <c r="F351" s="2" t="str">
        <f t="shared" si="28"/>
        <v xml:space="preserve"> 3pm</v>
      </c>
      <c r="G351" s="2" t="s">
        <v>376</v>
      </c>
      <c r="H351" t="str">
        <f t="shared" si="29"/>
        <v>Wolves</v>
      </c>
      <c r="I351" t="str">
        <f t="shared" si="31"/>
        <v>Everton</v>
      </c>
    </row>
    <row r="352" spans="1:9" x14ac:dyDescent="0.25">
      <c r="A352">
        <v>2020</v>
      </c>
      <c r="B352">
        <v>5</v>
      </c>
      <c r="C352" t="str">
        <f t="shared" si="30"/>
        <v>2</v>
      </c>
      <c r="D352" t="s">
        <v>320</v>
      </c>
      <c r="E352" s="2">
        <f t="shared" si="27"/>
        <v>43953</v>
      </c>
      <c r="F352" s="2" t="str">
        <f t="shared" si="28"/>
        <v xml:space="preserve"> 3pm</v>
      </c>
      <c r="G352" s="2" t="s">
        <v>376</v>
      </c>
      <c r="H352" t="str">
        <f t="shared" si="29"/>
        <v>Arsenal</v>
      </c>
      <c r="I352" t="str">
        <f t="shared" si="31"/>
        <v>Liverpool</v>
      </c>
    </row>
    <row r="353" spans="1:9" x14ac:dyDescent="0.25">
      <c r="A353">
        <v>2020</v>
      </c>
      <c r="B353">
        <v>5</v>
      </c>
      <c r="C353" t="str">
        <f t="shared" si="30"/>
        <v>2</v>
      </c>
      <c r="D353" t="s">
        <v>321</v>
      </c>
      <c r="E353" s="2">
        <f t="shared" si="27"/>
        <v>43953</v>
      </c>
      <c r="F353" s="2" t="str">
        <f t="shared" si="28"/>
        <v xml:space="preserve"> 3pm</v>
      </c>
      <c r="G353" s="2" t="s">
        <v>376</v>
      </c>
      <c r="H353" t="str">
        <f t="shared" si="29"/>
        <v>Burnley</v>
      </c>
      <c r="I353" t="str">
        <f t="shared" si="31"/>
        <v>Wolverhampton</v>
      </c>
    </row>
    <row r="354" spans="1:9" x14ac:dyDescent="0.25">
      <c r="A354">
        <v>2020</v>
      </c>
      <c r="B354">
        <v>5</v>
      </c>
      <c r="C354" t="str">
        <f t="shared" si="30"/>
        <v>2</v>
      </c>
      <c r="D354" t="s">
        <v>322</v>
      </c>
      <c r="E354" s="2">
        <f t="shared" si="27"/>
        <v>43953</v>
      </c>
      <c r="F354" s="2" t="str">
        <f t="shared" si="28"/>
        <v xml:space="preserve"> 3pm</v>
      </c>
      <c r="G354" s="2" t="s">
        <v>376</v>
      </c>
      <c r="H354" t="str">
        <f t="shared" si="29"/>
        <v>Chelsea</v>
      </c>
      <c r="I354" t="str">
        <f t="shared" si="31"/>
        <v>Norwich City</v>
      </c>
    </row>
    <row r="355" spans="1:9" x14ac:dyDescent="0.25">
      <c r="A355">
        <v>2020</v>
      </c>
      <c r="B355">
        <v>5</v>
      </c>
      <c r="C355" t="str">
        <f t="shared" si="30"/>
        <v>2</v>
      </c>
      <c r="D355" t="s">
        <v>323</v>
      </c>
      <c r="E355" s="2">
        <f t="shared" si="27"/>
        <v>43953</v>
      </c>
      <c r="F355" s="2" t="str">
        <f t="shared" si="28"/>
        <v xml:space="preserve"> 3pm</v>
      </c>
      <c r="G355" s="2" t="s">
        <v>376</v>
      </c>
      <c r="H355" t="str">
        <f t="shared" si="29"/>
        <v>Crystal Palace</v>
      </c>
      <c r="I355" t="str">
        <f t="shared" si="31"/>
        <v>Manchester United</v>
      </c>
    </row>
    <row r="356" spans="1:9" x14ac:dyDescent="0.25">
      <c r="A356">
        <v>2020</v>
      </c>
      <c r="B356">
        <v>5</v>
      </c>
      <c r="C356" t="str">
        <f t="shared" si="30"/>
        <v>2</v>
      </c>
      <c r="D356" t="s">
        <v>324</v>
      </c>
      <c r="E356" s="2">
        <f t="shared" si="27"/>
        <v>43953</v>
      </c>
      <c r="F356" s="2" t="str">
        <f t="shared" si="28"/>
        <v xml:space="preserve"> 3pm</v>
      </c>
      <c r="G356" s="2" t="s">
        <v>376</v>
      </c>
      <c r="H356" t="str">
        <f t="shared" si="29"/>
        <v>Everton</v>
      </c>
      <c r="I356" t="str">
        <f t="shared" si="31"/>
        <v>Aston Villa</v>
      </c>
    </row>
    <row r="357" spans="1:9" x14ac:dyDescent="0.25">
      <c r="A357">
        <v>2020</v>
      </c>
      <c r="B357">
        <v>5</v>
      </c>
      <c r="C357" t="str">
        <f t="shared" si="30"/>
        <v>2</v>
      </c>
      <c r="D357" t="s">
        <v>325</v>
      </c>
      <c r="E357" s="2">
        <f t="shared" si="27"/>
        <v>43953</v>
      </c>
      <c r="F357" s="2" t="str">
        <f t="shared" si="28"/>
        <v xml:space="preserve"> 3pm</v>
      </c>
      <c r="G357" s="2" t="s">
        <v>376</v>
      </c>
      <c r="H357" t="str">
        <f t="shared" si="29"/>
        <v>Leicester City</v>
      </c>
      <c r="I357" t="str">
        <f t="shared" si="31"/>
        <v>Sheffield United</v>
      </c>
    </row>
    <row r="358" spans="1:9" x14ac:dyDescent="0.25">
      <c r="A358">
        <v>2020</v>
      </c>
      <c r="B358">
        <v>5</v>
      </c>
      <c r="C358" t="str">
        <f t="shared" si="30"/>
        <v>2</v>
      </c>
      <c r="D358" t="s">
        <v>326</v>
      </c>
      <c r="E358" s="2">
        <f t="shared" si="27"/>
        <v>43953</v>
      </c>
      <c r="F358" s="2" t="str">
        <f t="shared" si="28"/>
        <v xml:space="preserve"> 3pm</v>
      </c>
      <c r="G358" s="2" t="s">
        <v>376</v>
      </c>
      <c r="H358" t="str">
        <f t="shared" si="29"/>
        <v>Manchester City</v>
      </c>
      <c r="I358" t="str">
        <f t="shared" si="31"/>
        <v>Bournemouth</v>
      </c>
    </row>
    <row r="359" spans="1:9" x14ac:dyDescent="0.25">
      <c r="A359">
        <v>2020</v>
      </c>
      <c r="B359">
        <v>5</v>
      </c>
      <c r="C359" t="str">
        <f t="shared" si="30"/>
        <v>2</v>
      </c>
      <c r="D359" t="s">
        <v>327</v>
      </c>
      <c r="E359" s="2">
        <f t="shared" si="27"/>
        <v>43953</v>
      </c>
      <c r="F359" s="2" t="str">
        <f t="shared" si="28"/>
        <v xml:space="preserve"> 3pm</v>
      </c>
      <c r="G359" s="2" t="s">
        <v>376</v>
      </c>
      <c r="H359" t="str">
        <f t="shared" si="29"/>
        <v>Newcastle United</v>
      </c>
      <c r="I359" t="str">
        <f t="shared" si="31"/>
        <v>Tottenham Hotspur</v>
      </c>
    </row>
    <row r="360" spans="1:9" x14ac:dyDescent="0.25">
      <c r="A360">
        <v>2020</v>
      </c>
      <c r="B360">
        <v>5</v>
      </c>
      <c r="C360" t="str">
        <f t="shared" si="30"/>
        <v>2</v>
      </c>
      <c r="D360" t="s">
        <v>328</v>
      </c>
      <c r="E360" s="2">
        <f t="shared" si="27"/>
        <v>43953</v>
      </c>
      <c r="F360" s="2" t="str">
        <f t="shared" si="28"/>
        <v xml:space="preserve"> 3pm</v>
      </c>
      <c r="G360" s="2" t="s">
        <v>376</v>
      </c>
      <c r="H360" t="str">
        <f t="shared" si="29"/>
        <v>Southampton</v>
      </c>
      <c r="I360" t="str">
        <f t="shared" si="31"/>
        <v>Brighton</v>
      </c>
    </row>
    <row r="361" spans="1:9" x14ac:dyDescent="0.25">
      <c r="A361">
        <v>2020</v>
      </c>
      <c r="B361">
        <v>5</v>
      </c>
      <c r="C361" t="str">
        <f t="shared" si="30"/>
        <v>2</v>
      </c>
      <c r="D361" t="s">
        <v>329</v>
      </c>
      <c r="E361" s="2">
        <f t="shared" si="27"/>
        <v>43953</v>
      </c>
      <c r="F361" s="2" t="str">
        <f t="shared" si="28"/>
        <v xml:space="preserve"> 3pm</v>
      </c>
      <c r="G361" s="2" t="s">
        <v>376</v>
      </c>
      <c r="H361" t="str">
        <f t="shared" si="29"/>
        <v>West Ham United</v>
      </c>
      <c r="I361" t="str">
        <f t="shared" si="31"/>
        <v>Watford</v>
      </c>
    </row>
    <row r="362" spans="1:9" x14ac:dyDescent="0.25">
      <c r="A362">
        <v>2020</v>
      </c>
      <c r="B362">
        <v>5</v>
      </c>
      <c r="C362" t="str">
        <f t="shared" si="30"/>
        <v>9</v>
      </c>
      <c r="D362" t="s">
        <v>330</v>
      </c>
      <c r="E362" s="2">
        <f t="shared" si="27"/>
        <v>43960</v>
      </c>
      <c r="F362" s="2" t="str">
        <f t="shared" si="28"/>
        <v xml:space="preserve"> 3pm</v>
      </c>
      <c r="G362" s="2" t="s">
        <v>376</v>
      </c>
      <c r="H362" t="str">
        <f t="shared" si="29"/>
        <v>Bournemouth</v>
      </c>
      <c r="I362" t="str">
        <f t="shared" si="31"/>
        <v>Southampton</v>
      </c>
    </row>
    <row r="363" spans="1:9" x14ac:dyDescent="0.25">
      <c r="A363">
        <v>2020</v>
      </c>
      <c r="B363">
        <v>5</v>
      </c>
      <c r="C363" t="str">
        <f t="shared" si="30"/>
        <v>9</v>
      </c>
      <c r="D363" t="s">
        <v>331</v>
      </c>
      <c r="E363" s="2">
        <f t="shared" si="27"/>
        <v>43960</v>
      </c>
      <c r="F363" s="2" t="str">
        <f t="shared" si="28"/>
        <v xml:space="preserve"> 3pm</v>
      </c>
      <c r="G363" s="2" t="s">
        <v>376</v>
      </c>
      <c r="H363" t="str">
        <f t="shared" si="29"/>
        <v>Aston Villa</v>
      </c>
      <c r="I363" t="str">
        <f t="shared" si="31"/>
        <v>Arsenal</v>
      </c>
    </row>
    <row r="364" spans="1:9" x14ac:dyDescent="0.25">
      <c r="A364">
        <v>2020</v>
      </c>
      <c r="B364">
        <v>5</v>
      </c>
      <c r="C364" t="str">
        <f t="shared" si="30"/>
        <v>9</v>
      </c>
      <c r="D364" t="s">
        <v>332</v>
      </c>
      <c r="E364" s="2">
        <f t="shared" si="27"/>
        <v>43960</v>
      </c>
      <c r="F364" s="2" t="str">
        <f t="shared" si="28"/>
        <v xml:space="preserve"> 3pm</v>
      </c>
      <c r="G364" s="2" t="s">
        <v>376</v>
      </c>
      <c r="H364" t="str">
        <f t="shared" si="29"/>
        <v>Brighton</v>
      </c>
      <c r="I364" t="str">
        <f t="shared" si="31"/>
        <v>Newcastle United</v>
      </c>
    </row>
    <row r="365" spans="1:9" x14ac:dyDescent="0.25">
      <c r="A365">
        <v>2020</v>
      </c>
      <c r="B365">
        <v>5</v>
      </c>
      <c r="C365" t="str">
        <f t="shared" si="30"/>
        <v>9</v>
      </c>
      <c r="D365" t="s">
        <v>333</v>
      </c>
      <c r="E365" s="2">
        <f t="shared" si="27"/>
        <v>43960</v>
      </c>
      <c r="F365" s="2" t="str">
        <f t="shared" si="28"/>
        <v xml:space="preserve"> 3pm</v>
      </c>
      <c r="G365" s="2" t="s">
        <v>376</v>
      </c>
      <c r="H365" t="str">
        <f t="shared" si="29"/>
        <v>Liverpool</v>
      </c>
      <c r="I365" t="str">
        <f t="shared" si="31"/>
        <v>Chelsea</v>
      </c>
    </row>
    <row r="366" spans="1:9" x14ac:dyDescent="0.25">
      <c r="A366">
        <v>2020</v>
      </c>
      <c r="B366">
        <v>5</v>
      </c>
      <c r="C366" t="str">
        <f t="shared" si="30"/>
        <v>9</v>
      </c>
      <c r="D366" t="s">
        <v>334</v>
      </c>
      <c r="E366" s="2">
        <f t="shared" si="27"/>
        <v>43960</v>
      </c>
      <c r="F366" s="2" t="str">
        <f t="shared" si="28"/>
        <v xml:space="preserve"> 3pm</v>
      </c>
      <c r="G366" s="2" t="s">
        <v>376</v>
      </c>
      <c r="H366" t="str">
        <f t="shared" si="29"/>
        <v>Manchester United</v>
      </c>
      <c r="I366" t="str">
        <f t="shared" si="31"/>
        <v>West Ham United</v>
      </c>
    </row>
    <row r="367" spans="1:9" x14ac:dyDescent="0.25">
      <c r="A367">
        <v>2020</v>
      </c>
      <c r="B367">
        <v>5</v>
      </c>
      <c r="C367" t="str">
        <f t="shared" si="30"/>
        <v>9</v>
      </c>
      <c r="D367" t="s">
        <v>335</v>
      </c>
      <c r="E367" s="2">
        <f t="shared" si="27"/>
        <v>43960</v>
      </c>
      <c r="F367" s="2" t="str">
        <f t="shared" si="28"/>
        <v xml:space="preserve"> 3pm</v>
      </c>
      <c r="G367" s="2" t="s">
        <v>376</v>
      </c>
      <c r="H367" t="str">
        <f t="shared" si="29"/>
        <v>Norwich City</v>
      </c>
      <c r="I367" t="str">
        <f t="shared" si="31"/>
        <v>Burnley</v>
      </c>
    </row>
    <row r="368" spans="1:9" x14ac:dyDescent="0.25">
      <c r="A368">
        <v>2020</v>
      </c>
      <c r="B368">
        <v>5</v>
      </c>
      <c r="C368" t="str">
        <f t="shared" si="30"/>
        <v>9</v>
      </c>
      <c r="D368" t="s">
        <v>336</v>
      </c>
      <c r="E368" s="2">
        <f t="shared" si="27"/>
        <v>43960</v>
      </c>
      <c r="F368" s="2" t="str">
        <f t="shared" si="28"/>
        <v xml:space="preserve"> 3pm</v>
      </c>
      <c r="G368" s="2" t="s">
        <v>376</v>
      </c>
      <c r="H368" t="str">
        <f t="shared" si="29"/>
        <v>Sheffield United</v>
      </c>
      <c r="I368" t="str">
        <f t="shared" si="31"/>
        <v>Everton</v>
      </c>
    </row>
    <row r="369" spans="1:9" x14ac:dyDescent="0.25">
      <c r="A369">
        <v>2020</v>
      </c>
      <c r="B369">
        <v>5</v>
      </c>
      <c r="C369" t="str">
        <f t="shared" si="30"/>
        <v>9</v>
      </c>
      <c r="D369" t="s">
        <v>337</v>
      </c>
      <c r="E369" s="2">
        <f t="shared" si="27"/>
        <v>43960</v>
      </c>
      <c r="F369" s="2" t="str">
        <f t="shared" si="28"/>
        <v xml:space="preserve"> 3pm</v>
      </c>
      <c r="G369" s="2" t="s">
        <v>376</v>
      </c>
      <c r="H369" t="str">
        <f t="shared" si="29"/>
        <v>Tottenham Hotspur</v>
      </c>
      <c r="I369" t="str">
        <f t="shared" si="31"/>
        <v>Leicester City</v>
      </c>
    </row>
    <row r="370" spans="1:9" x14ac:dyDescent="0.25">
      <c r="A370">
        <v>2020</v>
      </c>
      <c r="B370">
        <v>5</v>
      </c>
      <c r="C370" t="str">
        <f t="shared" si="30"/>
        <v>9</v>
      </c>
      <c r="D370" t="s">
        <v>338</v>
      </c>
      <c r="E370" s="2">
        <f t="shared" si="27"/>
        <v>43960</v>
      </c>
      <c r="F370" s="2" t="str">
        <f t="shared" si="28"/>
        <v xml:space="preserve"> 3pm</v>
      </c>
      <c r="G370" s="2" t="s">
        <v>376</v>
      </c>
      <c r="H370" t="str">
        <f t="shared" si="29"/>
        <v>Watford</v>
      </c>
      <c r="I370" t="str">
        <f t="shared" si="31"/>
        <v>Manchester City</v>
      </c>
    </row>
    <row r="371" spans="1:9" x14ac:dyDescent="0.25">
      <c r="A371">
        <v>2020</v>
      </c>
      <c r="B371">
        <v>5</v>
      </c>
      <c r="C371" t="str">
        <f t="shared" si="30"/>
        <v>9</v>
      </c>
      <c r="D371" t="s">
        <v>339</v>
      </c>
      <c r="E371" s="2">
        <f t="shared" si="27"/>
        <v>43960</v>
      </c>
      <c r="F371" s="2" t="str">
        <f t="shared" si="28"/>
        <v xml:space="preserve"> 3pm</v>
      </c>
      <c r="G371" s="2" t="s">
        <v>376</v>
      </c>
      <c r="H371" t="str">
        <f t="shared" si="29"/>
        <v>Wolves</v>
      </c>
      <c r="I371" t="str">
        <f t="shared" si="31"/>
        <v>Crystal Palace</v>
      </c>
    </row>
    <row r="372" spans="1:9" x14ac:dyDescent="0.25">
      <c r="A372">
        <v>2020</v>
      </c>
      <c r="B372">
        <v>5</v>
      </c>
      <c r="C372" t="str">
        <f t="shared" si="30"/>
        <v>17</v>
      </c>
      <c r="D372" t="s">
        <v>340</v>
      </c>
      <c r="E372" s="2">
        <f t="shared" si="27"/>
        <v>43968</v>
      </c>
      <c r="F372" s="2" t="str">
        <f t="shared" si="28"/>
        <v xml:space="preserve"> 3pm</v>
      </c>
      <c r="G372" s="2" t="s">
        <v>376</v>
      </c>
      <c r="H372" t="str">
        <f t="shared" si="29"/>
        <v>Arsenal</v>
      </c>
      <c r="I372" t="str">
        <f t="shared" si="31"/>
        <v>Watford</v>
      </c>
    </row>
    <row r="373" spans="1:9" x14ac:dyDescent="0.25">
      <c r="A373">
        <v>2020</v>
      </c>
      <c r="B373">
        <v>5</v>
      </c>
      <c r="C373" t="str">
        <f t="shared" si="30"/>
        <v>17</v>
      </c>
      <c r="D373" t="s">
        <v>341</v>
      </c>
      <c r="E373" s="2">
        <f t="shared" si="27"/>
        <v>43968</v>
      </c>
      <c r="F373" s="2" t="str">
        <f t="shared" si="28"/>
        <v xml:space="preserve"> 3pm</v>
      </c>
      <c r="G373" s="2" t="s">
        <v>376</v>
      </c>
      <c r="H373" t="str">
        <f t="shared" si="29"/>
        <v>Burnley</v>
      </c>
      <c r="I373" t="str">
        <f t="shared" si="31"/>
        <v>Brighton</v>
      </c>
    </row>
    <row r="374" spans="1:9" x14ac:dyDescent="0.25">
      <c r="A374">
        <v>2020</v>
      </c>
      <c r="B374">
        <v>5</v>
      </c>
      <c r="C374" t="str">
        <f t="shared" si="30"/>
        <v>17</v>
      </c>
      <c r="D374" t="s">
        <v>342</v>
      </c>
      <c r="E374" s="2">
        <f t="shared" si="27"/>
        <v>43968</v>
      </c>
      <c r="F374" s="2" t="str">
        <f t="shared" si="28"/>
        <v xml:space="preserve"> 3pm</v>
      </c>
      <c r="G374" s="2" t="s">
        <v>376</v>
      </c>
      <c r="H374" t="str">
        <f t="shared" si="29"/>
        <v>Chelsea</v>
      </c>
      <c r="I374" t="str">
        <f t="shared" si="31"/>
        <v>Wolves</v>
      </c>
    </row>
    <row r="375" spans="1:9" x14ac:dyDescent="0.25">
      <c r="A375">
        <v>2020</v>
      </c>
      <c r="B375">
        <v>5</v>
      </c>
      <c r="C375" t="str">
        <f t="shared" si="30"/>
        <v>17</v>
      </c>
      <c r="D375" t="s">
        <v>359</v>
      </c>
      <c r="E375" s="2">
        <f t="shared" si="27"/>
        <v>43968</v>
      </c>
      <c r="F375" s="2" t="str">
        <f t="shared" si="28"/>
        <v xml:space="preserve"> 3pm</v>
      </c>
      <c r="G375" s="2" t="s">
        <v>376</v>
      </c>
      <c r="H375" t="str">
        <f t="shared" si="29"/>
        <v xml:space="preserve"> Crystal Palace</v>
      </c>
      <c r="I375" t="str">
        <f t="shared" si="31"/>
        <v>Tottenham Hotspur</v>
      </c>
    </row>
    <row r="376" spans="1:9" x14ac:dyDescent="0.25">
      <c r="A376">
        <v>2020</v>
      </c>
      <c r="B376">
        <v>5</v>
      </c>
      <c r="C376" t="str">
        <f t="shared" si="30"/>
        <v>17</v>
      </c>
      <c r="D376" t="s">
        <v>343</v>
      </c>
      <c r="E376" s="2">
        <f t="shared" si="27"/>
        <v>43968</v>
      </c>
      <c r="F376" s="2" t="str">
        <f t="shared" si="28"/>
        <v xml:space="preserve"> 3pm</v>
      </c>
      <c r="G376" s="2" t="s">
        <v>376</v>
      </c>
      <c r="H376" t="str">
        <f t="shared" si="29"/>
        <v>Everton</v>
      </c>
      <c r="I376" t="str">
        <f t="shared" si="31"/>
        <v>Bournemouth</v>
      </c>
    </row>
    <row r="377" spans="1:9" x14ac:dyDescent="0.25">
      <c r="A377">
        <v>2020</v>
      </c>
      <c r="B377">
        <v>5</v>
      </c>
      <c r="C377" t="str">
        <f t="shared" si="30"/>
        <v>17</v>
      </c>
      <c r="D377" t="s">
        <v>344</v>
      </c>
      <c r="E377" s="2">
        <f t="shared" si="27"/>
        <v>43968</v>
      </c>
      <c r="F377" s="2" t="str">
        <f t="shared" si="28"/>
        <v xml:space="preserve"> 3pm</v>
      </c>
      <c r="G377" s="2" t="s">
        <v>376</v>
      </c>
      <c r="H377" t="str">
        <f t="shared" si="29"/>
        <v>Leicester City</v>
      </c>
      <c r="I377" t="str">
        <f t="shared" si="31"/>
        <v>Manchester United</v>
      </c>
    </row>
    <row r="378" spans="1:9" x14ac:dyDescent="0.25">
      <c r="A378">
        <v>2020</v>
      </c>
      <c r="B378">
        <v>5</v>
      </c>
      <c r="C378" t="str">
        <f t="shared" si="30"/>
        <v>17</v>
      </c>
      <c r="D378" t="s">
        <v>345</v>
      </c>
      <c r="E378" s="2">
        <f t="shared" si="27"/>
        <v>43968</v>
      </c>
      <c r="F378" s="2" t="str">
        <f t="shared" si="28"/>
        <v xml:space="preserve"> 3pm</v>
      </c>
      <c r="G378" s="2" t="s">
        <v>376</v>
      </c>
      <c r="H378" t="str">
        <f t="shared" si="29"/>
        <v>Manchester City</v>
      </c>
      <c r="I378" t="str">
        <f t="shared" si="31"/>
        <v>Norwich City</v>
      </c>
    </row>
    <row r="379" spans="1:9" x14ac:dyDescent="0.25">
      <c r="A379">
        <v>2020</v>
      </c>
      <c r="B379">
        <v>5</v>
      </c>
      <c r="C379" t="str">
        <f t="shared" si="30"/>
        <v>17</v>
      </c>
      <c r="D379" t="s">
        <v>346</v>
      </c>
      <c r="E379" s="2">
        <f t="shared" si="27"/>
        <v>43968</v>
      </c>
      <c r="F379" s="2" t="str">
        <f t="shared" si="28"/>
        <v xml:space="preserve"> 3pm</v>
      </c>
      <c r="G379" s="2" t="s">
        <v>376</v>
      </c>
      <c r="H379" t="str">
        <f t="shared" si="29"/>
        <v>Newcastle United</v>
      </c>
      <c r="I379" t="str">
        <f t="shared" si="31"/>
        <v>Liverpool</v>
      </c>
    </row>
    <row r="380" spans="1:9" x14ac:dyDescent="0.25">
      <c r="A380">
        <v>2020</v>
      </c>
      <c r="B380">
        <v>5</v>
      </c>
      <c r="C380" t="str">
        <f t="shared" si="30"/>
        <v>17</v>
      </c>
      <c r="D380" t="s">
        <v>347</v>
      </c>
      <c r="E380" s="2">
        <f t="shared" si="27"/>
        <v>43968</v>
      </c>
      <c r="F380" s="2" t="str">
        <f t="shared" si="28"/>
        <v xml:space="preserve"> 3pm</v>
      </c>
      <c r="G380" s="2" t="s">
        <v>376</v>
      </c>
      <c r="H380" t="str">
        <f t="shared" si="29"/>
        <v>Southampton</v>
      </c>
      <c r="I380" t="str">
        <f t="shared" si="31"/>
        <v>Sheffield United</v>
      </c>
    </row>
    <row r="381" spans="1:9" x14ac:dyDescent="0.25">
      <c r="A381">
        <v>2020</v>
      </c>
      <c r="B381">
        <v>5</v>
      </c>
      <c r="C381" t="str">
        <f t="shared" si="30"/>
        <v>17</v>
      </c>
      <c r="D381" t="s">
        <v>348</v>
      </c>
      <c r="E381" s="2">
        <f t="shared" si="27"/>
        <v>43968</v>
      </c>
      <c r="F381" s="2" t="str">
        <f t="shared" si="28"/>
        <v xml:space="preserve"> 3pm</v>
      </c>
      <c r="G381" s="2" t="s">
        <v>376</v>
      </c>
      <c r="H381" t="str">
        <f t="shared" si="29"/>
        <v>West Ham United</v>
      </c>
      <c r="I381" t="str">
        <f t="shared" si="31"/>
        <v>Aston Villa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2019-07-01T18:23:57Z</dcterms:created>
  <dcterms:modified xsi:type="dcterms:W3CDTF">2019-07-01T19:29:07Z</dcterms:modified>
</cp:coreProperties>
</file>